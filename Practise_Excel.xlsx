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1880\Desktop\STUDY MATERIAL DS\Advance Excel\"/>
    </mc:Choice>
  </mc:AlternateContent>
  <xr:revisionPtr revIDLastSave="0" documentId="13_ncr:1_{2A9A1D92-435C-4B68-8D41-7E37C6F7F4F6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Data" sheetId="1" r:id="rId1"/>
    <sheet name="Q3" sheetId="4" r:id="rId2"/>
    <sheet name="Q2" sheetId="3" r:id="rId3"/>
    <sheet name="Q1" sheetId="2" r:id="rId4"/>
  </sheets>
  <definedNames>
    <definedName name="_xlnm._FilterDatabase" localSheetId="0" hidden="1">Data!$C$11:$G$11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4" l="1"/>
  <c r="B5" i="4"/>
  <c r="B6" i="4"/>
  <c r="B7" i="4"/>
  <c r="B8" i="4"/>
  <c r="B3" i="4"/>
  <c r="D6" i="2"/>
  <c r="C4" i="2"/>
  <c r="C5" i="2"/>
  <c r="C6" i="2"/>
  <c r="C3" i="2"/>
  <c r="C10" i="2"/>
  <c r="C11" i="2"/>
  <c r="C13" i="2"/>
  <c r="D11" i="2"/>
  <c r="D10" i="2"/>
  <c r="D5" i="2"/>
  <c r="D4" i="2"/>
  <c r="D3" i="2"/>
  <c r="C7" i="2" l="1"/>
  <c r="D7" i="2"/>
</calcChain>
</file>

<file path=xl/sharedStrings.xml><?xml version="1.0" encoding="utf-8"?>
<sst xmlns="http://schemas.openxmlformats.org/spreadsheetml/2006/main" count="1868" uniqueCount="68">
  <si>
    <t>Product</t>
  </si>
  <si>
    <t>Amount</t>
  </si>
  <si>
    <t>Barr Faughny</t>
  </si>
  <si>
    <t>Gunar Cockshoot</t>
  </si>
  <si>
    <t>Almond Choco</t>
  </si>
  <si>
    <t>Gigi Bohling</t>
  </si>
  <si>
    <t>Curtice Advani</t>
  </si>
  <si>
    <t>Ches Bonnell</t>
  </si>
  <si>
    <t>Brien Boise</t>
  </si>
  <si>
    <t>Husein Augar</t>
  </si>
  <si>
    <t>Oby Sorrel</t>
  </si>
  <si>
    <t>Sales Person</t>
  </si>
  <si>
    <t>Geography</t>
  </si>
  <si>
    <t>Milk Bars</t>
  </si>
  <si>
    <t>50% Dark Bites</t>
  </si>
  <si>
    <t>Raspberry Choco</t>
  </si>
  <si>
    <t>Mint Chip Choco</t>
  </si>
  <si>
    <t>Eclairs</t>
  </si>
  <si>
    <t>Drinking Coco</t>
  </si>
  <si>
    <t>99% Dark &amp; Pure</t>
  </si>
  <si>
    <t>Orange Choco</t>
  </si>
  <si>
    <t>Spicy Special Slims</t>
  </si>
  <si>
    <t>After Nines</t>
  </si>
  <si>
    <t>Fruit &amp; Nut Bars</t>
  </si>
  <si>
    <t>85% Dark Bars</t>
  </si>
  <si>
    <t>White Choc</t>
  </si>
  <si>
    <t>Baker's Choco Chips</t>
  </si>
  <si>
    <t>Organic Choco Syrup</t>
  </si>
  <si>
    <t>Caramel Stuffed Bars</t>
  </si>
  <si>
    <t>Manuka Honey Choco</t>
  </si>
  <si>
    <t>70% Dark Bites</t>
  </si>
  <si>
    <t>Smooth Sliky Salty</t>
  </si>
  <si>
    <t>Choco Coated Almonds</t>
  </si>
  <si>
    <t>Peanut Butter Cubes</t>
  </si>
  <si>
    <t>India</t>
  </si>
  <si>
    <t>USA</t>
  </si>
  <si>
    <t>Canada</t>
  </si>
  <si>
    <t>New Zealand</t>
  </si>
  <si>
    <t>Australia</t>
  </si>
  <si>
    <t>UK</t>
  </si>
  <si>
    <t>Ram Mahesh</t>
  </si>
  <si>
    <t>Carla Molina</t>
  </si>
  <si>
    <t>Beginner Excel Data Analysis Course</t>
  </si>
  <si>
    <t>Questions</t>
  </si>
  <si>
    <t>Quick statistics</t>
  </si>
  <si>
    <t>Sales by country (with formulas)</t>
  </si>
  <si>
    <t>Sales by country (with pivots)</t>
  </si>
  <si>
    <t>Dynamic country-level Sales Report</t>
  </si>
  <si>
    <t>Which products to discontinue?</t>
  </si>
  <si>
    <t>Best Sales person by country</t>
  </si>
  <si>
    <t>Units</t>
  </si>
  <si>
    <t>Cost per unit</t>
  </si>
  <si>
    <t>Profits by product (using products table) - See column Y</t>
  </si>
  <si>
    <t>Exploratory Data Analysis (EDA) with CF</t>
  </si>
  <si>
    <t>Top 5 products by $ per unit</t>
  </si>
  <si>
    <t>Are there any anomalies in the data?</t>
  </si>
  <si>
    <t>Quick Statistics</t>
  </si>
  <si>
    <t>Average</t>
  </si>
  <si>
    <t>Unit</t>
  </si>
  <si>
    <t>Median</t>
  </si>
  <si>
    <t>Minimum</t>
  </si>
  <si>
    <t>Maximum</t>
  </si>
  <si>
    <t>Range</t>
  </si>
  <si>
    <t>25Percentile</t>
  </si>
  <si>
    <t>75percentile</t>
  </si>
  <si>
    <t>Count Of Product</t>
  </si>
  <si>
    <t>Sales By Country (With Formulas)</t>
  </si>
  <si>
    <t>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</si>
</sst>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[$$-409]* #,##0.00_);_([$$-409]* \(#,##0.00\);_([$$-409]* &quot;-&quot;??_);_(@_)"/>
    <numFmt numFmtId="165" formatCode="&quot;$&quot;#,##0.00"/>
    <numFmt numFmtId="167" formatCode="_([$$-409]* #,##0_);_([$$-409]* \(#,##0\);_([$$-409]* &quot;-&quot;??_);_(@_)"/>
    <numFmt numFmtId="169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28"/>
      <color theme="1"/>
      <name val="Segoe UI Light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0"/>
      <name val="Times New Roman"/>
      <family val="1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48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vertical="center"/>
    </xf>
    <xf numFmtId="6" fontId="0" fillId="0" borderId="0" xfId="0" applyNumberFormat="1"/>
    <xf numFmtId="3" fontId="0" fillId="0" borderId="0" xfId="0" applyNumberFormat="1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3" borderId="0" xfId="0" applyFont="1" applyFill="1"/>
    <xf numFmtId="0" fontId="2" fillId="0" borderId="0" xfId="0" applyFont="1" applyAlignment="1">
      <alignment horizontal="right"/>
    </xf>
    <xf numFmtId="8" fontId="0" fillId="0" borderId="0" xfId="0" applyNumberFormat="1"/>
    <xf numFmtId="164" fontId="0" fillId="0" borderId="0" xfId="0" applyNumberFormat="1"/>
    <xf numFmtId="44" fontId="0" fillId="0" borderId="0" xfId="1" applyFont="1"/>
    <xf numFmtId="0" fontId="5" fillId="0" borderId="2" xfId="0" applyFont="1" applyBorder="1" applyAlignment="1">
      <alignment horizontal="center"/>
    </xf>
    <xf numFmtId="165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44" fontId="4" fillId="0" borderId="2" xfId="1" applyFont="1" applyBorder="1" applyAlignment="1">
      <alignment horizontal="center"/>
    </xf>
    <xf numFmtId="0" fontId="5" fillId="5" borderId="2" xfId="0" applyFont="1" applyFill="1" applyBorder="1"/>
    <xf numFmtId="164" fontId="4" fillId="0" borderId="2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44" fontId="4" fillId="0" borderId="3" xfId="1" applyFont="1" applyBorder="1" applyAlignment="1">
      <alignment horizontal="center"/>
    </xf>
    <xf numFmtId="44" fontId="4" fillId="0" borderId="4" xfId="1" applyFont="1" applyBorder="1" applyAlignment="1">
      <alignment horizontal="center"/>
    </xf>
    <xf numFmtId="44" fontId="4" fillId="0" borderId="5" xfId="1" applyFont="1" applyBorder="1" applyAlignment="1">
      <alignment horizontal="center"/>
    </xf>
    <xf numFmtId="44" fontId="4" fillId="0" borderId="6" xfId="1" applyFont="1" applyBorder="1" applyAlignment="1">
      <alignment horizontal="center"/>
    </xf>
    <xf numFmtId="0" fontId="6" fillId="4" borderId="0" xfId="0" applyFont="1" applyFill="1" applyAlignment="1">
      <alignment horizontal="center"/>
    </xf>
    <xf numFmtId="0" fontId="5" fillId="5" borderId="8" xfId="0" applyFont="1" applyFill="1" applyBorder="1" applyAlignment="1">
      <alignment horizontal="center"/>
    </xf>
    <xf numFmtId="0" fontId="5" fillId="5" borderId="7" xfId="0" applyFont="1" applyFill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9" fillId="4" borderId="0" xfId="0" applyFont="1" applyFill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6" borderId="2" xfId="0" applyFont="1" applyFill="1" applyBorder="1"/>
    <xf numFmtId="167" fontId="0" fillId="0" borderId="2" xfId="0" applyNumberFormat="1" applyBorder="1"/>
    <xf numFmtId="0" fontId="0" fillId="0" borderId="2" xfId="0" applyBorder="1"/>
    <xf numFmtId="0" fontId="0" fillId="0" borderId="2" xfId="0" applyFont="1" applyBorder="1"/>
    <xf numFmtId="169" fontId="0" fillId="0" borderId="2" xfId="2" applyNumberFormat="1" applyFont="1" applyBorder="1"/>
  </cellXfs>
  <cellStyles count="3">
    <cellStyle name="Comma" xfId="2" builtinId="3"/>
    <cellStyle name="Currency" xfId="1" builtinId="4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" formatCode="#,##0"/>
    </dxf>
    <dxf>
      <numFmt numFmtId="10" formatCode="&quot;$&quot;#,##0_);[Red]\(&quot;$&quot;#,##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" formatCode="#,##0"/>
    </dxf>
    <dxf>
      <numFmt numFmtId="10" formatCode="&quot;$&quot;#,##0_);[Red]\(&quot;$&quot;#,##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2" formatCode="&quot;$&quot;#,##0.00_);[Red]\(&quot;$&quot;#,##0.0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132755</xdr:colOff>
      <xdr:row>1</xdr:row>
      <xdr:rowOff>94655</xdr:rowOff>
    </xdr:from>
    <xdr:to>
      <xdr:col>2</xdr:col>
      <xdr:colOff>1143000</xdr:colOff>
      <xdr:row>8</xdr:row>
      <xdr:rowOff>19050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4780D01-C3AC-411C-83E5-5E867BDB88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990" t="19990" r="19990" b="19990"/>
        <a:stretch/>
      </xdr:blipFill>
      <xdr:spPr>
        <a:xfrm>
          <a:off x="247055" y="761405"/>
          <a:ext cx="1257895" cy="1257895"/>
        </a:xfrm>
        <a:prstGeom prst="ellipse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s" displayName="products" ref="Y11:Z33" totalsRowShown="0">
  <autoFilter ref="Y11:Z33" xr:uid="{00000000-0009-0000-0100-000001000000}"/>
  <tableColumns count="2">
    <tableColumn id="1" xr3:uid="{00000000-0010-0000-0000-000001000000}" name="Product"/>
    <tableColumn id="2" xr3:uid="{00000000-0010-0000-0000-000002000000}" name="Cost per unit" data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10FC75F-02FB-46E3-A2BC-BA9C886C030E}" name="Data" displayName="Data" ref="C11:G311" totalsRowShown="0" headerRowDxfId="23">
  <autoFilter ref="C11:G311" xr:uid="{510FC75F-02FB-46E3-A2BC-BA9C886C030E}"/>
  <tableColumns count="5">
    <tableColumn id="1" xr3:uid="{4F3CAF24-2D7C-4F9E-AB6A-82D1D709787F}" name="Sales Person"/>
    <tableColumn id="2" xr3:uid="{4EA5CCBD-8412-4C1F-A179-369D28082C7B}" name="Geography"/>
    <tableColumn id="3" xr3:uid="{FCE85F75-80FF-4801-9998-9BDC2B74FDEE}" name="Product"/>
    <tableColumn id="4" xr3:uid="{E11F4343-FCEE-4B50-98D6-AAD4973FBEC8}" name="Amount" dataDxfId="22"/>
    <tableColumn id="5" xr3:uid="{D3F3BF20-04DD-466E-A23C-F464EE50485A}" name="Units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ABE6F3-B1CC-49EB-88C5-3CDF6A1A7164}" name="Data4" displayName="Data4" ref="A3:E303" totalsRowShown="0" headerRowDxfId="20">
  <autoFilter ref="A3:E303" xr:uid="{79ABE6F3-B1CC-49EB-88C5-3CDF6A1A7164}"/>
  <tableColumns count="5">
    <tableColumn id="1" xr3:uid="{F3D9935D-7755-455F-9480-455D3CD05BDE}" name="Sales Person"/>
    <tableColumn id="2" xr3:uid="{22BDD93E-71E2-454D-B05E-BA9A44C9DC10}" name="Geography"/>
    <tableColumn id="3" xr3:uid="{343A653A-9DE0-4EBB-8AE7-41D636F6A989}" name="Product"/>
    <tableColumn id="4" xr3:uid="{48ACA301-A67E-4168-8A75-1008F4475502}" name="Amount" dataDxfId="19"/>
    <tableColumn id="5" xr3:uid="{8CA54C98-39E9-4FEB-8A3D-F08CF78D4835}" name="Unit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58"/>
  <sheetViews>
    <sheetView showGridLines="0" zoomScale="105" zoomScaleNormal="145" workbookViewId="0">
      <selection activeCell="K209" sqref="K209"/>
    </sheetView>
  </sheetViews>
  <sheetFormatPr defaultRowHeight="14.4" x14ac:dyDescent="0.3"/>
  <cols>
    <col min="1" max="1" width="1.6640625" customWidth="1"/>
    <col min="2" max="2" width="3.6640625" customWidth="1"/>
    <col min="3" max="3" width="19.5546875" customWidth="1"/>
    <col min="4" max="4" width="14.6640625" customWidth="1"/>
    <col min="5" max="5" width="21.88671875" bestFit="1" customWidth="1"/>
    <col min="6" max="6" width="13.5546875" customWidth="1"/>
    <col min="7" max="7" width="11.6640625" customWidth="1"/>
    <col min="10" max="10" width="3.88671875" customWidth="1"/>
    <col min="11" max="11" width="53.88671875" customWidth="1"/>
    <col min="25" max="25" width="21.88671875" bestFit="1" customWidth="1"/>
    <col min="26" max="26" width="14.44140625" customWidth="1"/>
    <col min="31" max="31" width="21.88671875" customWidth="1"/>
  </cols>
  <sheetData>
    <row r="1" spans="1:26" s="2" customFormat="1" ht="52.5" customHeight="1" x14ac:dyDescent="0.3">
      <c r="A1" s="1"/>
      <c r="C1" s="3" t="s">
        <v>42</v>
      </c>
    </row>
    <row r="11" spans="1:26" x14ac:dyDescent="0.3">
      <c r="C11" s="6" t="s">
        <v>11</v>
      </c>
      <c r="D11" s="6" t="s">
        <v>12</v>
      </c>
      <c r="E11" s="6" t="s">
        <v>0</v>
      </c>
      <c r="F11" s="10" t="s">
        <v>1</v>
      </c>
      <c r="G11" s="10" t="s">
        <v>50</v>
      </c>
      <c r="J11" s="9" t="s">
        <v>43</v>
      </c>
      <c r="K11" s="2"/>
      <c r="Y11" t="s">
        <v>0</v>
      </c>
      <c r="Z11" t="s">
        <v>51</v>
      </c>
    </row>
    <row r="12" spans="1:26" x14ac:dyDescent="0.3">
      <c r="C12" t="s">
        <v>40</v>
      </c>
      <c r="D12" t="s">
        <v>37</v>
      </c>
      <c r="E12" t="s">
        <v>30</v>
      </c>
      <c r="F12" s="4">
        <v>1624</v>
      </c>
      <c r="G12" s="5">
        <v>114</v>
      </c>
      <c r="J12" s="7">
        <v>1</v>
      </c>
      <c r="K12" s="8" t="s">
        <v>44</v>
      </c>
      <c r="Y12" t="s">
        <v>13</v>
      </c>
      <c r="Z12" s="11">
        <v>9.33</v>
      </c>
    </row>
    <row r="13" spans="1:26" x14ac:dyDescent="0.3">
      <c r="C13" t="s">
        <v>8</v>
      </c>
      <c r="D13" t="s">
        <v>35</v>
      </c>
      <c r="E13" t="s">
        <v>32</v>
      </c>
      <c r="F13" s="4">
        <v>6706</v>
      </c>
      <c r="G13" s="5">
        <v>459</v>
      </c>
      <c r="J13" s="7">
        <v>2</v>
      </c>
      <c r="K13" s="8" t="s">
        <v>53</v>
      </c>
      <c r="Y13" t="s">
        <v>14</v>
      </c>
      <c r="Z13" s="11">
        <v>11.7</v>
      </c>
    </row>
    <row r="14" spans="1:26" x14ac:dyDescent="0.3">
      <c r="C14" t="s">
        <v>9</v>
      </c>
      <c r="D14" t="s">
        <v>35</v>
      </c>
      <c r="E14" t="s">
        <v>4</v>
      </c>
      <c r="F14" s="4">
        <v>959</v>
      </c>
      <c r="G14" s="5">
        <v>147</v>
      </c>
      <c r="J14" s="7">
        <v>3</v>
      </c>
      <c r="K14" s="8" t="s">
        <v>45</v>
      </c>
      <c r="Y14" t="s">
        <v>4</v>
      </c>
      <c r="Z14" s="11">
        <v>11.88</v>
      </c>
    </row>
    <row r="15" spans="1:26" x14ac:dyDescent="0.3">
      <c r="C15" t="s">
        <v>41</v>
      </c>
      <c r="D15" t="s">
        <v>36</v>
      </c>
      <c r="E15" t="s">
        <v>18</v>
      </c>
      <c r="F15" s="4">
        <v>9632</v>
      </c>
      <c r="G15" s="5">
        <v>288</v>
      </c>
      <c r="J15" s="7">
        <v>4</v>
      </c>
      <c r="K15" s="8" t="s">
        <v>46</v>
      </c>
      <c r="Y15" t="s">
        <v>15</v>
      </c>
      <c r="Z15" s="11">
        <v>11.73</v>
      </c>
    </row>
    <row r="16" spans="1:26" x14ac:dyDescent="0.3">
      <c r="C16" t="s">
        <v>6</v>
      </c>
      <c r="D16" t="s">
        <v>39</v>
      </c>
      <c r="E16" t="s">
        <v>25</v>
      </c>
      <c r="F16" s="4">
        <v>2100</v>
      </c>
      <c r="G16" s="5">
        <v>414</v>
      </c>
      <c r="J16" s="7">
        <v>5</v>
      </c>
      <c r="K16" s="8" t="s">
        <v>54</v>
      </c>
      <c r="Y16" t="s">
        <v>16</v>
      </c>
      <c r="Z16" s="11">
        <v>8.7899999999999991</v>
      </c>
    </row>
    <row r="17" spans="3:26" x14ac:dyDescent="0.3">
      <c r="C17" t="s">
        <v>40</v>
      </c>
      <c r="D17" t="s">
        <v>35</v>
      </c>
      <c r="E17" t="s">
        <v>33</v>
      </c>
      <c r="F17" s="4">
        <v>8869</v>
      </c>
      <c r="G17" s="5">
        <v>432</v>
      </c>
      <c r="J17" s="7">
        <v>6</v>
      </c>
      <c r="K17" s="8" t="s">
        <v>55</v>
      </c>
      <c r="Y17" t="s">
        <v>17</v>
      </c>
      <c r="Z17" s="11">
        <v>3.11</v>
      </c>
    </row>
    <row r="18" spans="3:26" x14ac:dyDescent="0.3">
      <c r="C18" t="s">
        <v>6</v>
      </c>
      <c r="D18" t="s">
        <v>38</v>
      </c>
      <c r="E18" t="s">
        <v>31</v>
      </c>
      <c r="F18" s="4">
        <v>2681</v>
      </c>
      <c r="G18" s="5">
        <v>54</v>
      </c>
      <c r="J18" s="7">
        <v>7</v>
      </c>
      <c r="K18" s="8" t="s">
        <v>49</v>
      </c>
      <c r="Y18" t="s">
        <v>18</v>
      </c>
      <c r="Z18" s="11">
        <v>6.47</v>
      </c>
    </row>
    <row r="19" spans="3:26" x14ac:dyDescent="0.3">
      <c r="C19" t="s">
        <v>8</v>
      </c>
      <c r="D19" t="s">
        <v>35</v>
      </c>
      <c r="E19" t="s">
        <v>22</v>
      </c>
      <c r="F19" s="4">
        <v>5012</v>
      </c>
      <c r="G19" s="5">
        <v>210</v>
      </c>
      <c r="J19" s="7">
        <v>8</v>
      </c>
      <c r="K19" s="8" t="s">
        <v>52</v>
      </c>
      <c r="Y19" t="s">
        <v>19</v>
      </c>
      <c r="Z19" s="11">
        <v>7.64</v>
      </c>
    </row>
    <row r="20" spans="3:26" x14ac:dyDescent="0.3">
      <c r="C20" t="s">
        <v>7</v>
      </c>
      <c r="D20" t="s">
        <v>38</v>
      </c>
      <c r="E20" t="s">
        <v>14</v>
      </c>
      <c r="F20" s="4">
        <v>1281</v>
      </c>
      <c r="G20" s="5">
        <v>75</v>
      </c>
      <c r="J20" s="7">
        <v>9</v>
      </c>
      <c r="K20" s="8" t="s">
        <v>47</v>
      </c>
      <c r="Y20" t="s">
        <v>20</v>
      </c>
      <c r="Z20" s="11">
        <v>10.62</v>
      </c>
    </row>
    <row r="21" spans="3:26" x14ac:dyDescent="0.3">
      <c r="C21" t="s">
        <v>5</v>
      </c>
      <c r="D21" t="s">
        <v>37</v>
      </c>
      <c r="E21" t="s">
        <v>14</v>
      </c>
      <c r="F21" s="4">
        <v>4991</v>
      </c>
      <c r="G21" s="5">
        <v>12</v>
      </c>
      <c r="J21" s="7">
        <v>10</v>
      </c>
      <c r="K21" s="8" t="s">
        <v>48</v>
      </c>
      <c r="Y21" t="s">
        <v>21</v>
      </c>
      <c r="Z21" s="11">
        <v>9</v>
      </c>
    </row>
    <row r="22" spans="3:26" x14ac:dyDescent="0.3">
      <c r="C22" t="s">
        <v>2</v>
      </c>
      <c r="D22" t="s">
        <v>39</v>
      </c>
      <c r="E22" t="s">
        <v>25</v>
      </c>
      <c r="F22" s="4">
        <v>1785</v>
      </c>
      <c r="G22" s="5">
        <v>462</v>
      </c>
      <c r="Y22" t="s">
        <v>22</v>
      </c>
      <c r="Z22" s="11">
        <v>9.77</v>
      </c>
    </row>
    <row r="23" spans="3:26" x14ac:dyDescent="0.3">
      <c r="C23" t="s">
        <v>3</v>
      </c>
      <c r="D23" t="s">
        <v>37</v>
      </c>
      <c r="E23" t="s">
        <v>17</v>
      </c>
      <c r="F23" s="4">
        <v>3983</v>
      </c>
      <c r="G23" s="5">
        <v>144</v>
      </c>
      <c r="Y23" t="s">
        <v>23</v>
      </c>
      <c r="Z23" s="11">
        <v>6.49</v>
      </c>
    </row>
    <row r="24" spans="3:26" x14ac:dyDescent="0.3">
      <c r="C24" t="s">
        <v>9</v>
      </c>
      <c r="D24" t="s">
        <v>38</v>
      </c>
      <c r="E24" t="s">
        <v>16</v>
      </c>
      <c r="F24" s="4">
        <v>2646</v>
      </c>
      <c r="G24" s="5">
        <v>120</v>
      </c>
      <c r="Y24" t="s">
        <v>24</v>
      </c>
      <c r="Z24" s="11">
        <v>4.97</v>
      </c>
    </row>
    <row r="25" spans="3:26" x14ac:dyDescent="0.3">
      <c r="C25" t="s">
        <v>2</v>
      </c>
      <c r="D25" t="s">
        <v>34</v>
      </c>
      <c r="E25" t="s">
        <v>13</v>
      </c>
      <c r="F25" s="4">
        <v>252</v>
      </c>
      <c r="G25" s="5">
        <v>54</v>
      </c>
      <c r="Y25" t="s">
        <v>25</v>
      </c>
      <c r="Z25" s="11">
        <v>13.15</v>
      </c>
    </row>
    <row r="26" spans="3:26" x14ac:dyDescent="0.3">
      <c r="C26" t="s">
        <v>3</v>
      </c>
      <c r="D26" t="s">
        <v>35</v>
      </c>
      <c r="E26" t="s">
        <v>25</v>
      </c>
      <c r="F26" s="4">
        <v>2464</v>
      </c>
      <c r="G26" s="5">
        <v>234</v>
      </c>
      <c r="Y26" t="s">
        <v>26</v>
      </c>
      <c r="Z26" s="11">
        <v>5.6</v>
      </c>
    </row>
    <row r="27" spans="3:26" x14ac:dyDescent="0.3">
      <c r="C27" t="s">
        <v>3</v>
      </c>
      <c r="D27" t="s">
        <v>35</v>
      </c>
      <c r="E27" t="s">
        <v>29</v>
      </c>
      <c r="F27" s="4">
        <v>2114</v>
      </c>
      <c r="G27" s="5">
        <v>66</v>
      </c>
      <c r="Y27" t="s">
        <v>27</v>
      </c>
      <c r="Z27" s="11">
        <v>16.73</v>
      </c>
    </row>
    <row r="28" spans="3:26" x14ac:dyDescent="0.3">
      <c r="C28" t="s">
        <v>6</v>
      </c>
      <c r="D28" t="s">
        <v>37</v>
      </c>
      <c r="E28" t="s">
        <v>31</v>
      </c>
      <c r="F28" s="4">
        <v>7693</v>
      </c>
      <c r="G28" s="5">
        <v>87</v>
      </c>
      <c r="Y28" t="s">
        <v>28</v>
      </c>
      <c r="Z28" s="11">
        <v>10.38</v>
      </c>
    </row>
    <row r="29" spans="3:26" x14ac:dyDescent="0.3">
      <c r="C29" t="s">
        <v>5</v>
      </c>
      <c r="D29" t="s">
        <v>34</v>
      </c>
      <c r="E29" t="s">
        <v>20</v>
      </c>
      <c r="F29" s="4">
        <v>15610</v>
      </c>
      <c r="G29" s="5">
        <v>339</v>
      </c>
      <c r="Y29" t="s">
        <v>29</v>
      </c>
      <c r="Z29" s="11">
        <v>7.16</v>
      </c>
    </row>
    <row r="30" spans="3:26" x14ac:dyDescent="0.3">
      <c r="C30" t="s">
        <v>41</v>
      </c>
      <c r="D30" t="s">
        <v>34</v>
      </c>
      <c r="E30" t="s">
        <v>22</v>
      </c>
      <c r="F30" s="4">
        <v>336</v>
      </c>
      <c r="G30" s="5">
        <v>144</v>
      </c>
      <c r="Y30" t="s">
        <v>30</v>
      </c>
      <c r="Z30" s="11">
        <v>14.49</v>
      </c>
    </row>
    <row r="31" spans="3:26" x14ac:dyDescent="0.3">
      <c r="C31" t="s">
        <v>2</v>
      </c>
      <c r="D31" t="s">
        <v>39</v>
      </c>
      <c r="E31" t="s">
        <v>20</v>
      </c>
      <c r="F31" s="4">
        <v>9443</v>
      </c>
      <c r="G31" s="5">
        <v>162</v>
      </c>
      <c r="Y31" t="s">
        <v>31</v>
      </c>
      <c r="Z31" s="11">
        <v>5.79</v>
      </c>
    </row>
    <row r="32" spans="3:26" x14ac:dyDescent="0.3">
      <c r="C32" t="s">
        <v>9</v>
      </c>
      <c r="D32" t="s">
        <v>34</v>
      </c>
      <c r="E32" t="s">
        <v>23</v>
      </c>
      <c r="F32" s="4">
        <v>8155</v>
      </c>
      <c r="G32" s="5">
        <v>90</v>
      </c>
      <c r="Y32" t="s">
        <v>32</v>
      </c>
      <c r="Z32" s="11">
        <v>8.65</v>
      </c>
    </row>
    <row r="33" spans="3:26" x14ac:dyDescent="0.3">
      <c r="C33" t="s">
        <v>8</v>
      </c>
      <c r="D33" t="s">
        <v>38</v>
      </c>
      <c r="E33" t="s">
        <v>23</v>
      </c>
      <c r="F33" s="4">
        <v>1701</v>
      </c>
      <c r="G33" s="5">
        <v>234</v>
      </c>
      <c r="Y33" t="s">
        <v>33</v>
      </c>
      <c r="Z33" s="11">
        <v>12.37</v>
      </c>
    </row>
    <row r="34" spans="3:26" x14ac:dyDescent="0.3">
      <c r="C34" t="s">
        <v>10</v>
      </c>
      <c r="D34" t="s">
        <v>38</v>
      </c>
      <c r="E34" t="s">
        <v>22</v>
      </c>
      <c r="F34" s="4">
        <v>2205</v>
      </c>
      <c r="G34" s="5">
        <v>141</v>
      </c>
    </row>
    <row r="35" spans="3:26" x14ac:dyDescent="0.3">
      <c r="C35" t="s">
        <v>8</v>
      </c>
      <c r="D35" t="s">
        <v>37</v>
      </c>
      <c r="E35" t="s">
        <v>19</v>
      </c>
      <c r="F35" s="4">
        <v>1771</v>
      </c>
      <c r="G35" s="5">
        <v>204</v>
      </c>
    </row>
    <row r="36" spans="3:26" x14ac:dyDescent="0.3">
      <c r="C36" t="s">
        <v>41</v>
      </c>
      <c r="D36" t="s">
        <v>35</v>
      </c>
      <c r="E36" t="s">
        <v>15</v>
      </c>
      <c r="F36" s="4">
        <v>2114</v>
      </c>
      <c r="G36" s="5">
        <v>186</v>
      </c>
    </row>
    <row r="37" spans="3:26" x14ac:dyDescent="0.3">
      <c r="C37" t="s">
        <v>41</v>
      </c>
      <c r="D37" t="s">
        <v>36</v>
      </c>
      <c r="E37" t="s">
        <v>13</v>
      </c>
      <c r="F37" s="4">
        <v>10311</v>
      </c>
      <c r="G37" s="5">
        <v>231</v>
      </c>
    </row>
    <row r="38" spans="3:26" x14ac:dyDescent="0.3">
      <c r="C38" t="s">
        <v>3</v>
      </c>
      <c r="D38" t="s">
        <v>39</v>
      </c>
      <c r="E38" t="s">
        <v>16</v>
      </c>
      <c r="F38" s="4">
        <v>21</v>
      </c>
      <c r="G38" s="5">
        <v>168</v>
      </c>
    </row>
    <row r="39" spans="3:26" x14ac:dyDescent="0.3">
      <c r="C39" t="s">
        <v>10</v>
      </c>
      <c r="D39" t="s">
        <v>35</v>
      </c>
      <c r="E39" t="s">
        <v>20</v>
      </c>
      <c r="F39" s="4">
        <v>1974</v>
      </c>
      <c r="G39" s="5">
        <v>195</v>
      </c>
    </row>
    <row r="40" spans="3:26" x14ac:dyDescent="0.3">
      <c r="C40" t="s">
        <v>5</v>
      </c>
      <c r="D40" t="s">
        <v>36</v>
      </c>
      <c r="E40" t="s">
        <v>23</v>
      </c>
      <c r="F40" s="4">
        <v>6314</v>
      </c>
      <c r="G40" s="5">
        <v>15</v>
      </c>
    </row>
    <row r="41" spans="3:26" x14ac:dyDescent="0.3">
      <c r="C41" t="s">
        <v>10</v>
      </c>
      <c r="D41" t="s">
        <v>37</v>
      </c>
      <c r="E41" t="s">
        <v>23</v>
      </c>
      <c r="F41" s="4">
        <v>4683</v>
      </c>
      <c r="G41" s="5">
        <v>30</v>
      </c>
    </row>
    <row r="42" spans="3:26" x14ac:dyDescent="0.3">
      <c r="C42" t="s">
        <v>41</v>
      </c>
      <c r="D42" t="s">
        <v>37</v>
      </c>
      <c r="E42" t="s">
        <v>24</v>
      </c>
      <c r="F42" s="4">
        <v>6398</v>
      </c>
      <c r="G42" s="5">
        <v>102</v>
      </c>
    </row>
    <row r="43" spans="3:26" x14ac:dyDescent="0.3">
      <c r="C43" t="s">
        <v>2</v>
      </c>
      <c r="D43" t="s">
        <v>35</v>
      </c>
      <c r="E43" t="s">
        <v>19</v>
      </c>
      <c r="F43" s="4">
        <v>553</v>
      </c>
      <c r="G43" s="5">
        <v>15</v>
      </c>
    </row>
    <row r="44" spans="3:26" x14ac:dyDescent="0.3">
      <c r="C44" t="s">
        <v>8</v>
      </c>
      <c r="D44" t="s">
        <v>39</v>
      </c>
      <c r="E44" t="s">
        <v>30</v>
      </c>
      <c r="F44" s="4">
        <v>7021</v>
      </c>
      <c r="G44" s="5">
        <v>183</v>
      </c>
    </row>
    <row r="45" spans="3:26" x14ac:dyDescent="0.3">
      <c r="C45" t="s">
        <v>40</v>
      </c>
      <c r="D45" t="s">
        <v>39</v>
      </c>
      <c r="E45" t="s">
        <v>22</v>
      </c>
      <c r="F45" s="4">
        <v>5817</v>
      </c>
      <c r="G45" s="5">
        <v>12</v>
      </c>
    </row>
    <row r="46" spans="3:26" x14ac:dyDescent="0.3">
      <c r="C46" t="s">
        <v>41</v>
      </c>
      <c r="D46" t="s">
        <v>39</v>
      </c>
      <c r="E46" t="s">
        <v>14</v>
      </c>
      <c r="F46" s="4">
        <v>3976</v>
      </c>
      <c r="G46" s="5">
        <v>72</v>
      </c>
    </row>
    <row r="47" spans="3:26" x14ac:dyDescent="0.3">
      <c r="C47" t="s">
        <v>6</v>
      </c>
      <c r="D47" t="s">
        <v>38</v>
      </c>
      <c r="E47" t="s">
        <v>27</v>
      </c>
      <c r="F47" s="4">
        <v>1134</v>
      </c>
      <c r="G47" s="5">
        <v>282</v>
      </c>
    </row>
    <row r="48" spans="3:26" x14ac:dyDescent="0.3">
      <c r="C48" t="s">
        <v>2</v>
      </c>
      <c r="D48" t="s">
        <v>39</v>
      </c>
      <c r="E48" t="s">
        <v>28</v>
      </c>
      <c r="F48" s="4">
        <v>6027</v>
      </c>
      <c r="G48" s="5">
        <v>144</v>
      </c>
    </row>
    <row r="49" spans="3:7" x14ac:dyDescent="0.3">
      <c r="C49" t="s">
        <v>6</v>
      </c>
      <c r="D49" t="s">
        <v>37</v>
      </c>
      <c r="E49" t="s">
        <v>16</v>
      </c>
      <c r="F49" s="4">
        <v>1904</v>
      </c>
      <c r="G49" s="5">
        <v>405</v>
      </c>
    </row>
    <row r="50" spans="3:7" x14ac:dyDescent="0.3">
      <c r="C50" t="s">
        <v>7</v>
      </c>
      <c r="D50" t="s">
        <v>34</v>
      </c>
      <c r="E50" t="s">
        <v>32</v>
      </c>
      <c r="F50" s="4">
        <v>3262</v>
      </c>
      <c r="G50" s="5">
        <v>75</v>
      </c>
    </row>
    <row r="51" spans="3:7" x14ac:dyDescent="0.3">
      <c r="C51" t="s">
        <v>40</v>
      </c>
      <c r="D51" t="s">
        <v>34</v>
      </c>
      <c r="E51" t="s">
        <v>27</v>
      </c>
      <c r="F51" s="4">
        <v>2289</v>
      </c>
      <c r="G51" s="5">
        <v>135</v>
      </c>
    </row>
    <row r="52" spans="3:7" x14ac:dyDescent="0.3">
      <c r="C52" t="s">
        <v>5</v>
      </c>
      <c r="D52" t="s">
        <v>34</v>
      </c>
      <c r="E52" t="s">
        <v>27</v>
      </c>
      <c r="F52" s="4">
        <v>6986</v>
      </c>
      <c r="G52" s="5">
        <v>21</v>
      </c>
    </row>
    <row r="53" spans="3:7" x14ac:dyDescent="0.3">
      <c r="C53" t="s">
        <v>2</v>
      </c>
      <c r="D53" t="s">
        <v>38</v>
      </c>
      <c r="E53" t="s">
        <v>23</v>
      </c>
      <c r="F53" s="4">
        <v>4417</v>
      </c>
      <c r="G53" s="5">
        <v>153</v>
      </c>
    </row>
    <row r="54" spans="3:7" x14ac:dyDescent="0.3">
      <c r="C54" t="s">
        <v>6</v>
      </c>
      <c r="D54" t="s">
        <v>34</v>
      </c>
      <c r="E54" t="s">
        <v>15</v>
      </c>
      <c r="F54" s="4">
        <v>1442</v>
      </c>
      <c r="G54" s="5">
        <v>15</v>
      </c>
    </row>
    <row r="55" spans="3:7" x14ac:dyDescent="0.3">
      <c r="C55" t="s">
        <v>3</v>
      </c>
      <c r="D55" t="s">
        <v>35</v>
      </c>
      <c r="E55" t="s">
        <v>14</v>
      </c>
      <c r="F55" s="4">
        <v>2415</v>
      </c>
      <c r="G55" s="5">
        <v>255</v>
      </c>
    </row>
    <row r="56" spans="3:7" x14ac:dyDescent="0.3">
      <c r="C56" t="s">
        <v>2</v>
      </c>
      <c r="D56" t="s">
        <v>37</v>
      </c>
      <c r="E56" t="s">
        <v>19</v>
      </c>
      <c r="F56" s="4">
        <v>238</v>
      </c>
      <c r="G56" s="5">
        <v>18</v>
      </c>
    </row>
    <row r="57" spans="3:7" x14ac:dyDescent="0.3">
      <c r="C57" t="s">
        <v>6</v>
      </c>
      <c r="D57" t="s">
        <v>37</v>
      </c>
      <c r="E57" t="s">
        <v>23</v>
      </c>
      <c r="F57" s="4">
        <v>4949</v>
      </c>
      <c r="G57" s="5">
        <v>189</v>
      </c>
    </row>
    <row r="58" spans="3:7" x14ac:dyDescent="0.3">
      <c r="C58" t="s">
        <v>5</v>
      </c>
      <c r="D58" t="s">
        <v>38</v>
      </c>
      <c r="E58" t="s">
        <v>32</v>
      </c>
      <c r="F58" s="4">
        <v>5075</v>
      </c>
      <c r="G58" s="5">
        <v>21</v>
      </c>
    </row>
    <row r="59" spans="3:7" x14ac:dyDescent="0.3">
      <c r="C59" t="s">
        <v>3</v>
      </c>
      <c r="D59" t="s">
        <v>36</v>
      </c>
      <c r="E59" t="s">
        <v>16</v>
      </c>
      <c r="F59" s="4">
        <v>9198</v>
      </c>
      <c r="G59" s="5">
        <v>36</v>
      </c>
    </row>
    <row r="60" spans="3:7" x14ac:dyDescent="0.3">
      <c r="C60" t="s">
        <v>6</v>
      </c>
      <c r="D60" t="s">
        <v>34</v>
      </c>
      <c r="E60" t="s">
        <v>29</v>
      </c>
      <c r="F60" s="4">
        <v>3339</v>
      </c>
      <c r="G60" s="5">
        <v>75</v>
      </c>
    </row>
    <row r="61" spans="3:7" x14ac:dyDescent="0.3">
      <c r="C61" t="s">
        <v>40</v>
      </c>
      <c r="D61" t="s">
        <v>34</v>
      </c>
      <c r="E61" t="s">
        <v>17</v>
      </c>
      <c r="F61" s="4">
        <v>5019</v>
      </c>
      <c r="G61" s="5">
        <v>156</v>
      </c>
    </row>
    <row r="62" spans="3:7" x14ac:dyDescent="0.3">
      <c r="C62" t="s">
        <v>5</v>
      </c>
      <c r="D62" t="s">
        <v>36</v>
      </c>
      <c r="E62" t="s">
        <v>16</v>
      </c>
      <c r="F62" s="4">
        <v>16184</v>
      </c>
      <c r="G62" s="5">
        <v>39</v>
      </c>
    </row>
    <row r="63" spans="3:7" x14ac:dyDescent="0.3">
      <c r="C63" t="s">
        <v>6</v>
      </c>
      <c r="D63" t="s">
        <v>36</v>
      </c>
      <c r="E63" t="s">
        <v>21</v>
      </c>
      <c r="F63" s="4">
        <v>497</v>
      </c>
      <c r="G63" s="5">
        <v>63</v>
      </c>
    </row>
    <row r="64" spans="3:7" x14ac:dyDescent="0.3">
      <c r="C64" t="s">
        <v>2</v>
      </c>
      <c r="D64" t="s">
        <v>36</v>
      </c>
      <c r="E64" t="s">
        <v>29</v>
      </c>
      <c r="F64" s="4">
        <v>8211</v>
      </c>
      <c r="G64" s="5">
        <v>75</v>
      </c>
    </row>
    <row r="65" spans="3:7" x14ac:dyDescent="0.3">
      <c r="C65" t="s">
        <v>2</v>
      </c>
      <c r="D65" t="s">
        <v>38</v>
      </c>
      <c r="E65" t="s">
        <v>28</v>
      </c>
      <c r="F65" s="4">
        <v>6580</v>
      </c>
      <c r="G65" s="5">
        <v>183</v>
      </c>
    </row>
    <row r="66" spans="3:7" x14ac:dyDescent="0.3">
      <c r="C66" t="s">
        <v>41</v>
      </c>
      <c r="D66" t="s">
        <v>35</v>
      </c>
      <c r="E66" t="s">
        <v>13</v>
      </c>
      <c r="F66" s="4">
        <v>4760</v>
      </c>
      <c r="G66" s="5">
        <v>69</v>
      </c>
    </row>
    <row r="67" spans="3:7" x14ac:dyDescent="0.3">
      <c r="C67" t="s">
        <v>40</v>
      </c>
      <c r="D67" t="s">
        <v>36</v>
      </c>
      <c r="E67" t="s">
        <v>25</v>
      </c>
      <c r="F67" s="4">
        <v>5439</v>
      </c>
      <c r="G67" s="5">
        <v>30</v>
      </c>
    </row>
    <row r="68" spans="3:7" x14ac:dyDescent="0.3">
      <c r="C68" t="s">
        <v>41</v>
      </c>
      <c r="D68" t="s">
        <v>34</v>
      </c>
      <c r="E68" t="s">
        <v>17</v>
      </c>
      <c r="F68" s="4">
        <v>1463</v>
      </c>
      <c r="G68" s="5">
        <v>39</v>
      </c>
    </row>
    <row r="69" spans="3:7" x14ac:dyDescent="0.3">
      <c r="C69" t="s">
        <v>3</v>
      </c>
      <c r="D69" t="s">
        <v>34</v>
      </c>
      <c r="E69" t="s">
        <v>32</v>
      </c>
      <c r="F69" s="4">
        <v>7777</v>
      </c>
      <c r="G69" s="5">
        <v>504</v>
      </c>
    </row>
    <row r="70" spans="3:7" x14ac:dyDescent="0.3">
      <c r="C70" t="s">
        <v>9</v>
      </c>
      <c r="D70" t="s">
        <v>37</v>
      </c>
      <c r="E70" t="s">
        <v>29</v>
      </c>
      <c r="F70" s="4">
        <v>1085</v>
      </c>
      <c r="G70" s="5">
        <v>273</v>
      </c>
    </row>
    <row r="71" spans="3:7" x14ac:dyDescent="0.3">
      <c r="C71" t="s">
        <v>5</v>
      </c>
      <c r="D71" t="s">
        <v>37</v>
      </c>
      <c r="E71" t="s">
        <v>31</v>
      </c>
      <c r="F71" s="4">
        <v>182</v>
      </c>
      <c r="G71" s="5">
        <v>48</v>
      </c>
    </row>
    <row r="72" spans="3:7" x14ac:dyDescent="0.3">
      <c r="C72" t="s">
        <v>6</v>
      </c>
      <c r="D72" t="s">
        <v>34</v>
      </c>
      <c r="E72" t="s">
        <v>27</v>
      </c>
      <c r="F72" s="4">
        <v>4242</v>
      </c>
      <c r="G72" s="5">
        <v>207</v>
      </c>
    </row>
    <row r="73" spans="3:7" x14ac:dyDescent="0.3">
      <c r="C73" t="s">
        <v>6</v>
      </c>
      <c r="D73" t="s">
        <v>36</v>
      </c>
      <c r="E73" t="s">
        <v>32</v>
      </c>
      <c r="F73" s="4">
        <v>6118</v>
      </c>
      <c r="G73" s="5">
        <v>9</v>
      </c>
    </row>
    <row r="74" spans="3:7" x14ac:dyDescent="0.3">
      <c r="C74" t="s">
        <v>10</v>
      </c>
      <c r="D74" t="s">
        <v>36</v>
      </c>
      <c r="E74" t="s">
        <v>23</v>
      </c>
      <c r="F74" s="4">
        <v>2317</v>
      </c>
      <c r="G74" s="5">
        <v>261</v>
      </c>
    </row>
    <row r="75" spans="3:7" x14ac:dyDescent="0.3">
      <c r="C75" t="s">
        <v>6</v>
      </c>
      <c r="D75" t="s">
        <v>38</v>
      </c>
      <c r="E75" t="s">
        <v>16</v>
      </c>
      <c r="F75" s="4">
        <v>938</v>
      </c>
      <c r="G75" s="5">
        <v>6</v>
      </c>
    </row>
    <row r="76" spans="3:7" x14ac:dyDescent="0.3">
      <c r="C76" t="s">
        <v>8</v>
      </c>
      <c r="D76" t="s">
        <v>37</v>
      </c>
      <c r="E76" t="s">
        <v>15</v>
      </c>
      <c r="F76" s="4">
        <v>9709</v>
      </c>
      <c r="G76" s="5">
        <v>30</v>
      </c>
    </row>
    <row r="77" spans="3:7" x14ac:dyDescent="0.3">
      <c r="C77" t="s">
        <v>7</v>
      </c>
      <c r="D77" t="s">
        <v>34</v>
      </c>
      <c r="E77" t="s">
        <v>20</v>
      </c>
      <c r="F77" s="4">
        <v>2205</v>
      </c>
      <c r="G77" s="5">
        <v>138</v>
      </c>
    </row>
    <row r="78" spans="3:7" x14ac:dyDescent="0.3">
      <c r="C78" t="s">
        <v>7</v>
      </c>
      <c r="D78" t="s">
        <v>37</v>
      </c>
      <c r="E78" t="s">
        <v>17</v>
      </c>
      <c r="F78" s="4">
        <v>4487</v>
      </c>
      <c r="G78" s="5">
        <v>111</v>
      </c>
    </row>
    <row r="79" spans="3:7" x14ac:dyDescent="0.3">
      <c r="C79" t="s">
        <v>5</v>
      </c>
      <c r="D79" t="s">
        <v>35</v>
      </c>
      <c r="E79" t="s">
        <v>18</v>
      </c>
      <c r="F79" s="4">
        <v>2415</v>
      </c>
      <c r="G79" s="5">
        <v>15</v>
      </c>
    </row>
    <row r="80" spans="3:7" x14ac:dyDescent="0.3">
      <c r="C80" t="s">
        <v>40</v>
      </c>
      <c r="D80" t="s">
        <v>34</v>
      </c>
      <c r="E80" t="s">
        <v>19</v>
      </c>
      <c r="F80" s="4">
        <v>4018</v>
      </c>
      <c r="G80" s="5">
        <v>162</v>
      </c>
    </row>
    <row r="81" spans="3:7" x14ac:dyDescent="0.3">
      <c r="C81" t="s">
        <v>5</v>
      </c>
      <c r="D81" t="s">
        <v>34</v>
      </c>
      <c r="E81" t="s">
        <v>19</v>
      </c>
      <c r="F81" s="4">
        <v>861</v>
      </c>
      <c r="G81" s="5">
        <v>195</v>
      </c>
    </row>
    <row r="82" spans="3:7" x14ac:dyDescent="0.3">
      <c r="C82" t="s">
        <v>10</v>
      </c>
      <c r="D82" t="s">
        <v>38</v>
      </c>
      <c r="E82" t="s">
        <v>14</v>
      </c>
      <c r="F82" s="4">
        <v>5586</v>
      </c>
      <c r="G82" s="5">
        <v>525</v>
      </c>
    </row>
    <row r="83" spans="3:7" x14ac:dyDescent="0.3">
      <c r="C83" t="s">
        <v>7</v>
      </c>
      <c r="D83" t="s">
        <v>34</v>
      </c>
      <c r="E83" t="s">
        <v>33</v>
      </c>
      <c r="F83" s="4">
        <v>2226</v>
      </c>
      <c r="G83" s="5">
        <v>48</v>
      </c>
    </row>
    <row r="84" spans="3:7" x14ac:dyDescent="0.3">
      <c r="C84" t="s">
        <v>9</v>
      </c>
      <c r="D84" t="s">
        <v>34</v>
      </c>
      <c r="E84" t="s">
        <v>28</v>
      </c>
      <c r="F84" s="4">
        <v>14329</v>
      </c>
      <c r="G84" s="5">
        <v>150</v>
      </c>
    </row>
    <row r="85" spans="3:7" x14ac:dyDescent="0.3">
      <c r="C85" t="s">
        <v>9</v>
      </c>
      <c r="D85" t="s">
        <v>34</v>
      </c>
      <c r="E85" t="s">
        <v>20</v>
      </c>
      <c r="F85" s="4">
        <v>8463</v>
      </c>
      <c r="G85" s="5">
        <v>492</v>
      </c>
    </row>
    <row r="86" spans="3:7" x14ac:dyDescent="0.3">
      <c r="C86" t="s">
        <v>5</v>
      </c>
      <c r="D86" t="s">
        <v>34</v>
      </c>
      <c r="E86" t="s">
        <v>29</v>
      </c>
      <c r="F86" s="4">
        <v>2891</v>
      </c>
      <c r="G86" s="5">
        <v>102</v>
      </c>
    </row>
    <row r="87" spans="3:7" x14ac:dyDescent="0.3">
      <c r="C87" t="s">
        <v>3</v>
      </c>
      <c r="D87" t="s">
        <v>36</v>
      </c>
      <c r="E87" t="s">
        <v>23</v>
      </c>
      <c r="F87" s="4">
        <v>3773</v>
      </c>
      <c r="G87" s="5">
        <v>165</v>
      </c>
    </row>
    <row r="88" spans="3:7" x14ac:dyDescent="0.3">
      <c r="C88" t="s">
        <v>41</v>
      </c>
      <c r="D88" t="s">
        <v>36</v>
      </c>
      <c r="E88" t="s">
        <v>28</v>
      </c>
      <c r="F88" s="4">
        <v>854</v>
      </c>
      <c r="G88" s="5">
        <v>309</v>
      </c>
    </row>
    <row r="89" spans="3:7" x14ac:dyDescent="0.3">
      <c r="C89" t="s">
        <v>6</v>
      </c>
      <c r="D89" t="s">
        <v>36</v>
      </c>
      <c r="E89" t="s">
        <v>17</v>
      </c>
      <c r="F89" s="4">
        <v>4970</v>
      </c>
      <c r="G89" s="5">
        <v>156</v>
      </c>
    </row>
    <row r="90" spans="3:7" x14ac:dyDescent="0.3">
      <c r="C90" t="s">
        <v>9</v>
      </c>
      <c r="D90" t="s">
        <v>35</v>
      </c>
      <c r="E90" t="s">
        <v>26</v>
      </c>
      <c r="F90" s="4">
        <v>98</v>
      </c>
      <c r="G90" s="5">
        <v>159</v>
      </c>
    </row>
    <row r="91" spans="3:7" x14ac:dyDescent="0.3">
      <c r="C91" t="s">
        <v>5</v>
      </c>
      <c r="D91" t="s">
        <v>35</v>
      </c>
      <c r="E91" t="s">
        <v>15</v>
      </c>
      <c r="F91" s="4">
        <v>13391</v>
      </c>
      <c r="G91" s="5">
        <v>201</v>
      </c>
    </row>
    <row r="92" spans="3:7" x14ac:dyDescent="0.3">
      <c r="C92" t="s">
        <v>8</v>
      </c>
      <c r="D92" t="s">
        <v>39</v>
      </c>
      <c r="E92" t="s">
        <v>31</v>
      </c>
      <c r="F92" s="4">
        <v>8890</v>
      </c>
      <c r="G92" s="5">
        <v>210</v>
      </c>
    </row>
    <row r="93" spans="3:7" x14ac:dyDescent="0.3">
      <c r="C93" t="s">
        <v>2</v>
      </c>
      <c r="D93" t="s">
        <v>38</v>
      </c>
      <c r="E93" t="s">
        <v>13</v>
      </c>
      <c r="F93" s="4">
        <v>56</v>
      </c>
      <c r="G93" s="5">
        <v>51</v>
      </c>
    </row>
    <row r="94" spans="3:7" x14ac:dyDescent="0.3">
      <c r="C94" t="s">
        <v>3</v>
      </c>
      <c r="D94" t="s">
        <v>36</v>
      </c>
      <c r="E94" t="s">
        <v>25</v>
      </c>
      <c r="F94" s="4">
        <v>3339</v>
      </c>
      <c r="G94" s="5">
        <v>39</v>
      </c>
    </row>
    <row r="95" spans="3:7" x14ac:dyDescent="0.3">
      <c r="C95" t="s">
        <v>10</v>
      </c>
      <c r="D95" t="s">
        <v>35</v>
      </c>
      <c r="E95" t="s">
        <v>18</v>
      </c>
      <c r="F95" s="4">
        <v>3808</v>
      </c>
      <c r="G95" s="5">
        <v>279</v>
      </c>
    </row>
    <row r="96" spans="3:7" x14ac:dyDescent="0.3">
      <c r="C96" t="s">
        <v>10</v>
      </c>
      <c r="D96" t="s">
        <v>38</v>
      </c>
      <c r="E96" t="s">
        <v>13</v>
      </c>
      <c r="F96" s="4">
        <v>63</v>
      </c>
      <c r="G96" s="5">
        <v>123</v>
      </c>
    </row>
    <row r="97" spans="3:7" x14ac:dyDescent="0.3">
      <c r="C97" t="s">
        <v>2</v>
      </c>
      <c r="D97" t="s">
        <v>39</v>
      </c>
      <c r="E97" t="s">
        <v>27</v>
      </c>
      <c r="F97" s="4">
        <v>7812</v>
      </c>
      <c r="G97" s="5">
        <v>81</v>
      </c>
    </row>
    <row r="98" spans="3:7" x14ac:dyDescent="0.3">
      <c r="C98" t="s">
        <v>40</v>
      </c>
      <c r="D98" t="s">
        <v>37</v>
      </c>
      <c r="E98" t="s">
        <v>19</v>
      </c>
      <c r="F98" s="4">
        <v>7693</v>
      </c>
      <c r="G98" s="5">
        <v>21</v>
      </c>
    </row>
    <row r="99" spans="3:7" x14ac:dyDescent="0.3">
      <c r="C99" t="s">
        <v>3</v>
      </c>
      <c r="D99" t="s">
        <v>36</v>
      </c>
      <c r="E99" t="s">
        <v>28</v>
      </c>
      <c r="F99" s="4">
        <v>973</v>
      </c>
      <c r="G99" s="5">
        <v>162</v>
      </c>
    </row>
    <row r="100" spans="3:7" x14ac:dyDescent="0.3">
      <c r="C100" t="s">
        <v>10</v>
      </c>
      <c r="D100" t="s">
        <v>35</v>
      </c>
      <c r="E100" t="s">
        <v>21</v>
      </c>
      <c r="F100" s="4">
        <v>567</v>
      </c>
      <c r="G100" s="5">
        <v>228</v>
      </c>
    </row>
    <row r="101" spans="3:7" x14ac:dyDescent="0.3">
      <c r="C101" t="s">
        <v>10</v>
      </c>
      <c r="D101" t="s">
        <v>36</v>
      </c>
      <c r="E101" t="s">
        <v>29</v>
      </c>
      <c r="F101" s="4">
        <v>2471</v>
      </c>
      <c r="G101" s="5">
        <v>342</v>
      </c>
    </row>
    <row r="102" spans="3:7" x14ac:dyDescent="0.3">
      <c r="C102" t="s">
        <v>5</v>
      </c>
      <c r="D102" t="s">
        <v>38</v>
      </c>
      <c r="E102" t="s">
        <v>13</v>
      </c>
      <c r="F102" s="4">
        <v>7189</v>
      </c>
      <c r="G102" s="5">
        <v>54</v>
      </c>
    </row>
    <row r="103" spans="3:7" x14ac:dyDescent="0.3">
      <c r="C103" t="s">
        <v>41</v>
      </c>
      <c r="D103" t="s">
        <v>35</v>
      </c>
      <c r="E103" t="s">
        <v>28</v>
      </c>
      <c r="F103" s="4">
        <v>7455</v>
      </c>
      <c r="G103" s="5">
        <v>216</v>
      </c>
    </row>
    <row r="104" spans="3:7" x14ac:dyDescent="0.3">
      <c r="C104" t="s">
        <v>3</v>
      </c>
      <c r="D104" t="s">
        <v>34</v>
      </c>
      <c r="E104" t="s">
        <v>26</v>
      </c>
      <c r="F104" s="4">
        <v>3108</v>
      </c>
      <c r="G104" s="5">
        <v>54</v>
      </c>
    </row>
    <row r="105" spans="3:7" x14ac:dyDescent="0.3">
      <c r="C105" t="s">
        <v>6</v>
      </c>
      <c r="D105" t="s">
        <v>38</v>
      </c>
      <c r="E105" t="s">
        <v>25</v>
      </c>
      <c r="F105" s="4">
        <v>469</v>
      </c>
      <c r="G105" s="5">
        <v>75</v>
      </c>
    </row>
    <row r="106" spans="3:7" x14ac:dyDescent="0.3">
      <c r="C106" t="s">
        <v>9</v>
      </c>
      <c r="D106" t="s">
        <v>37</v>
      </c>
      <c r="E106" t="s">
        <v>23</v>
      </c>
      <c r="F106" s="4">
        <v>2737</v>
      </c>
      <c r="G106" s="5">
        <v>93</v>
      </c>
    </row>
    <row r="107" spans="3:7" x14ac:dyDescent="0.3">
      <c r="C107" t="s">
        <v>9</v>
      </c>
      <c r="D107" t="s">
        <v>37</v>
      </c>
      <c r="E107" t="s">
        <v>25</v>
      </c>
      <c r="F107" s="4">
        <v>4305</v>
      </c>
      <c r="G107" s="5">
        <v>156</v>
      </c>
    </row>
    <row r="108" spans="3:7" x14ac:dyDescent="0.3">
      <c r="C108" t="s">
        <v>9</v>
      </c>
      <c r="D108" t="s">
        <v>38</v>
      </c>
      <c r="E108" t="s">
        <v>17</v>
      </c>
      <c r="F108" s="4">
        <v>2408</v>
      </c>
      <c r="G108" s="5">
        <v>9</v>
      </c>
    </row>
    <row r="109" spans="3:7" x14ac:dyDescent="0.3">
      <c r="C109" t="s">
        <v>3</v>
      </c>
      <c r="D109" t="s">
        <v>36</v>
      </c>
      <c r="E109" t="s">
        <v>19</v>
      </c>
      <c r="F109" s="4">
        <v>1281</v>
      </c>
      <c r="G109" s="5">
        <v>18</v>
      </c>
    </row>
    <row r="110" spans="3:7" x14ac:dyDescent="0.3">
      <c r="C110" t="s">
        <v>40</v>
      </c>
      <c r="D110" t="s">
        <v>35</v>
      </c>
      <c r="E110" t="s">
        <v>32</v>
      </c>
      <c r="F110" s="4">
        <v>12348</v>
      </c>
      <c r="G110" s="5">
        <v>234</v>
      </c>
    </row>
    <row r="111" spans="3:7" x14ac:dyDescent="0.3">
      <c r="C111" t="s">
        <v>3</v>
      </c>
      <c r="D111" t="s">
        <v>34</v>
      </c>
      <c r="E111" t="s">
        <v>28</v>
      </c>
      <c r="F111" s="4">
        <v>3689</v>
      </c>
      <c r="G111" s="5">
        <v>312</v>
      </c>
    </row>
    <row r="112" spans="3:7" x14ac:dyDescent="0.3">
      <c r="C112" t="s">
        <v>7</v>
      </c>
      <c r="D112" t="s">
        <v>36</v>
      </c>
      <c r="E112" t="s">
        <v>19</v>
      </c>
      <c r="F112" s="4">
        <v>2870</v>
      </c>
      <c r="G112" s="5">
        <v>300</v>
      </c>
    </row>
    <row r="113" spans="3:7" x14ac:dyDescent="0.3">
      <c r="C113" t="s">
        <v>2</v>
      </c>
      <c r="D113" t="s">
        <v>36</v>
      </c>
      <c r="E113" t="s">
        <v>27</v>
      </c>
      <c r="F113" s="4">
        <v>798</v>
      </c>
      <c r="G113" s="5">
        <v>519</v>
      </c>
    </row>
    <row r="114" spans="3:7" x14ac:dyDescent="0.3">
      <c r="C114" t="s">
        <v>41</v>
      </c>
      <c r="D114" t="s">
        <v>37</v>
      </c>
      <c r="E114" t="s">
        <v>21</v>
      </c>
      <c r="F114" s="4">
        <v>2933</v>
      </c>
      <c r="G114" s="5">
        <v>9</v>
      </c>
    </row>
    <row r="115" spans="3:7" x14ac:dyDescent="0.3">
      <c r="C115" t="s">
        <v>5</v>
      </c>
      <c r="D115" t="s">
        <v>35</v>
      </c>
      <c r="E115" t="s">
        <v>4</v>
      </c>
      <c r="F115" s="4">
        <v>2744</v>
      </c>
      <c r="G115" s="5">
        <v>9</v>
      </c>
    </row>
    <row r="116" spans="3:7" x14ac:dyDescent="0.3">
      <c r="C116" t="s">
        <v>40</v>
      </c>
      <c r="D116" t="s">
        <v>36</v>
      </c>
      <c r="E116" t="s">
        <v>33</v>
      </c>
      <c r="F116" s="4">
        <v>9772</v>
      </c>
      <c r="G116" s="5">
        <v>90</v>
      </c>
    </row>
    <row r="117" spans="3:7" x14ac:dyDescent="0.3">
      <c r="C117" t="s">
        <v>7</v>
      </c>
      <c r="D117" t="s">
        <v>34</v>
      </c>
      <c r="E117" t="s">
        <v>25</v>
      </c>
      <c r="F117" s="4">
        <v>1568</v>
      </c>
      <c r="G117" s="5">
        <v>96</v>
      </c>
    </row>
    <row r="118" spans="3:7" x14ac:dyDescent="0.3">
      <c r="C118" t="s">
        <v>2</v>
      </c>
      <c r="D118" t="s">
        <v>36</v>
      </c>
      <c r="E118" t="s">
        <v>16</v>
      </c>
      <c r="F118" s="4">
        <v>11417</v>
      </c>
      <c r="G118" s="5">
        <v>21</v>
      </c>
    </row>
    <row r="119" spans="3:7" x14ac:dyDescent="0.3">
      <c r="C119" t="s">
        <v>40</v>
      </c>
      <c r="D119" t="s">
        <v>34</v>
      </c>
      <c r="E119" t="s">
        <v>26</v>
      </c>
      <c r="F119" s="4">
        <v>6748</v>
      </c>
      <c r="G119" s="5">
        <v>48</v>
      </c>
    </row>
    <row r="120" spans="3:7" x14ac:dyDescent="0.3">
      <c r="C120" t="s">
        <v>10</v>
      </c>
      <c r="D120" t="s">
        <v>36</v>
      </c>
      <c r="E120" t="s">
        <v>27</v>
      </c>
      <c r="F120" s="4">
        <v>1407</v>
      </c>
      <c r="G120" s="5">
        <v>72</v>
      </c>
    </row>
    <row r="121" spans="3:7" x14ac:dyDescent="0.3">
      <c r="C121" t="s">
        <v>8</v>
      </c>
      <c r="D121" t="s">
        <v>35</v>
      </c>
      <c r="E121" t="s">
        <v>29</v>
      </c>
      <c r="F121" s="4">
        <v>2023</v>
      </c>
      <c r="G121" s="5">
        <v>168</v>
      </c>
    </row>
    <row r="122" spans="3:7" x14ac:dyDescent="0.3">
      <c r="C122" t="s">
        <v>5</v>
      </c>
      <c r="D122" t="s">
        <v>39</v>
      </c>
      <c r="E122" t="s">
        <v>26</v>
      </c>
      <c r="F122" s="4">
        <v>5236</v>
      </c>
      <c r="G122" s="5">
        <v>51</v>
      </c>
    </row>
    <row r="123" spans="3:7" x14ac:dyDescent="0.3">
      <c r="C123" t="s">
        <v>41</v>
      </c>
      <c r="D123" t="s">
        <v>36</v>
      </c>
      <c r="E123" t="s">
        <v>19</v>
      </c>
      <c r="F123" s="4">
        <v>1925</v>
      </c>
      <c r="G123" s="5">
        <v>192</v>
      </c>
    </row>
    <row r="124" spans="3:7" x14ac:dyDescent="0.3">
      <c r="C124" t="s">
        <v>7</v>
      </c>
      <c r="D124" t="s">
        <v>37</v>
      </c>
      <c r="E124" t="s">
        <v>14</v>
      </c>
      <c r="F124" s="4">
        <v>6608</v>
      </c>
      <c r="G124" s="5">
        <v>225</v>
      </c>
    </row>
    <row r="125" spans="3:7" x14ac:dyDescent="0.3">
      <c r="C125" t="s">
        <v>6</v>
      </c>
      <c r="D125" t="s">
        <v>34</v>
      </c>
      <c r="E125" t="s">
        <v>26</v>
      </c>
      <c r="F125" s="4">
        <v>8008</v>
      </c>
      <c r="G125" s="5">
        <v>456</v>
      </c>
    </row>
    <row r="126" spans="3:7" x14ac:dyDescent="0.3">
      <c r="C126" t="s">
        <v>10</v>
      </c>
      <c r="D126" t="s">
        <v>34</v>
      </c>
      <c r="E126" t="s">
        <v>25</v>
      </c>
      <c r="F126" s="4">
        <v>1428</v>
      </c>
      <c r="G126" s="5">
        <v>93</v>
      </c>
    </row>
    <row r="127" spans="3:7" x14ac:dyDescent="0.3">
      <c r="C127" t="s">
        <v>6</v>
      </c>
      <c r="D127" t="s">
        <v>34</v>
      </c>
      <c r="E127" t="s">
        <v>4</v>
      </c>
      <c r="F127" s="4">
        <v>525</v>
      </c>
      <c r="G127" s="5">
        <v>48</v>
      </c>
    </row>
    <row r="128" spans="3:7" x14ac:dyDescent="0.3">
      <c r="C128" t="s">
        <v>6</v>
      </c>
      <c r="D128" t="s">
        <v>37</v>
      </c>
      <c r="E128" t="s">
        <v>18</v>
      </c>
      <c r="F128" s="4">
        <v>1505</v>
      </c>
      <c r="G128" s="5">
        <v>102</v>
      </c>
    </row>
    <row r="129" spans="3:7" x14ac:dyDescent="0.3">
      <c r="C129" t="s">
        <v>7</v>
      </c>
      <c r="D129" t="s">
        <v>35</v>
      </c>
      <c r="E129" t="s">
        <v>30</v>
      </c>
      <c r="F129" s="4">
        <v>6755</v>
      </c>
      <c r="G129" s="5">
        <v>252</v>
      </c>
    </row>
    <row r="130" spans="3:7" x14ac:dyDescent="0.3">
      <c r="C130" t="s">
        <v>2</v>
      </c>
      <c r="D130" t="s">
        <v>37</v>
      </c>
      <c r="E130" t="s">
        <v>18</v>
      </c>
      <c r="F130" s="4">
        <v>11571</v>
      </c>
      <c r="G130" s="5">
        <v>138</v>
      </c>
    </row>
    <row r="131" spans="3:7" x14ac:dyDescent="0.3">
      <c r="C131" t="s">
        <v>40</v>
      </c>
      <c r="D131" t="s">
        <v>38</v>
      </c>
      <c r="E131" t="s">
        <v>25</v>
      </c>
      <c r="F131" s="4">
        <v>2541</v>
      </c>
      <c r="G131" s="5">
        <v>90</v>
      </c>
    </row>
    <row r="132" spans="3:7" x14ac:dyDescent="0.3">
      <c r="C132" t="s">
        <v>41</v>
      </c>
      <c r="D132" t="s">
        <v>37</v>
      </c>
      <c r="E132" t="s">
        <v>30</v>
      </c>
      <c r="F132" s="4">
        <v>1526</v>
      </c>
      <c r="G132" s="5">
        <v>240</v>
      </c>
    </row>
    <row r="133" spans="3:7" x14ac:dyDescent="0.3">
      <c r="C133" t="s">
        <v>40</v>
      </c>
      <c r="D133" t="s">
        <v>38</v>
      </c>
      <c r="E133" t="s">
        <v>4</v>
      </c>
      <c r="F133" s="4">
        <v>6125</v>
      </c>
      <c r="G133" s="5">
        <v>102</v>
      </c>
    </row>
    <row r="134" spans="3:7" x14ac:dyDescent="0.3">
      <c r="C134" t="s">
        <v>41</v>
      </c>
      <c r="D134" t="s">
        <v>35</v>
      </c>
      <c r="E134" t="s">
        <v>27</v>
      </c>
      <c r="F134" s="4">
        <v>847</v>
      </c>
      <c r="G134" s="5">
        <v>129</v>
      </c>
    </row>
    <row r="135" spans="3:7" x14ac:dyDescent="0.3">
      <c r="C135" t="s">
        <v>8</v>
      </c>
      <c r="D135" t="s">
        <v>35</v>
      </c>
      <c r="E135" t="s">
        <v>27</v>
      </c>
      <c r="F135" s="4">
        <v>4753</v>
      </c>
      <c r="G135" s="5">
        <v>300</v>
      </c>
    </row>
    <row r="136" spans="3:7" x14ac:dyDescent="0.3">
      <c r="C136" t="s">
        <v>6</v>
      </c>
      <c r="D136" t="s">
        <v>38</v>
      </c>
      <c r="E136" t="s">
        <v>33</v>
      </c>
      <c r="F136" s="4">
        <v>959</v>
      </c>
      <c r="G136" s="5">
        <v>135</v>
      </c>
    </row>
    <row r="137" spans="3:7" x14ac:dyDescent="0.3">
      <c r="C137" t="s">
        <v>7</v>
      </c>
      <c r="D137" t="s">
        <v>35</v>
      </c>
      <c r="E137" t="s">
        <v>24</v>
      </c>
      <c r="F137" s="4">
        <v>2793</v>
      </c>
      <c r="G137" s="5">
        <v>114</v>
      </c>
    </row>
    <row r="138" spans="3:7" x14ac:dyDescent="0.3">
      <c r="C138" t="s">
        <v>7</v>
      </c>
      <c r="D138" t="s">
        <v>35</v>
      </c>
      <c r="E138" t="s">
        <v>14</v>
      </c>
      <c r="F138" s="4">
        <v>4606</v>
      </c>
      <c r="G138" s="5">
        <v>63</v>
      </c>
    </row>
    <row r="139" spans="3:7" x14ac:dyDescent="0.3">
      <c r="C139" t="s">
        <v>7</v>
      </c>
      <c r="D139" t="s">
        <v>36</v>
      </c>
      <c r="E139" t="s">
        <v>29</v>
      </c>
      <c r="F139" s="4">
        <v>5551</v>
      </c>
      <c r="G139" s="5">
        <v>252</v>
      </c>
    </row>
    <row r="140" spans="3:7" x14ac:dyDescent="0.3">
      <c r="C140" t="s">
        <v>10</v>
      </c>
      <c r="D140" t="s">
        <v>36</v>
      </c>
      <c r="E140" t="s">
        <v>32</v>
      </c>
      <c r="F140" s="4">
        <v>6657</v>
      </c>
      <c r="G140" s="5">
        <v>303</v>
      </c>
    </row>
    <row r="141" spans="3:7" x14ac:dyDescent="0.3">
      <c r="C141" t="s">
        <v>7</v>
      </c>
      <c r="D141" t="s">
        <v>39</v>
      </c>
      <c r="E141" t="s">
        <v>17</v>
      </c>
      <c r="F141" s="4">
        <v>4438</v>
      </c>
      <c r="G141" s="5">
        <v>246</v>
      </c>
    </row>
    <row r="142" spans="3:7" x14ac:dyDescent="0.3">
      <c r="C142" t="s">
        <v>8</v>
      </c>
      <c r="D142" t="s">
        <v>38</v>
      </c>
      <c r="E142" t="s">
        <v>22</v>
      </c>
      <c r="F142" s="4">
        <v>168</v>
      </c>
      <c r="G142" s="5">
        <v>84</v>
      </c>
    </row>
    <row r="143" spans="3:7" x14ac:dyDescent="0.3">
      <c r="C143" t="s">
        <v>7</v>
      </c>
      <c r="D143" t="s">
        <v>34</v>
      </c>
      <c r="E143" t="s">
        <v>17</v>
      </c>
      <c r="F143" s="4">
        <v>7777</v>
      </c>
      <c r="G143" s="5">
        <v>39</v>
      </c>
    </row>
    <row r="144" spans="3:7" x14ac:dyDescent="0.3">
      <c r="C144" t="s">
        <v>5</v>
      </c>
      <c r="D144" t="s">
        <v>36</v>
      </c>
      <c r="E144" t="s">
        <v>17</v>
      </c>
      <c r="F144" s="4">
        <v>3339</v>
      </c>
      <c r="G144" s="5">
        <v>348</v>
      </c>
    </row>
    <row r="145" spans="3:7" x14ac:dyDescent="0.3">
      <c r="C145" t="s">
        <v>7</v>
      </c>
      <c r="D145" t="s">
        <v>37</v>
      </c>
      <c r="E145" t="s">
        <v>33</v>
      </c>
      <c r="F145" s="4">
        <v>6391</v>
      </c>
      <c r="G145" s="5">
        <v>48</v>
      </c>
    </row>
    <row r="146" spans="3:7" x14ac:dyDescent="0.3">
      <c r="C146" t="s">
        <v>5</v>
      </c>
      <c r="D146" t="s">
        <v>37</v>
      </c>
      <c r="E146" t="s">
        <v>22</v>
      </c>
      <c r="F146" s="4">
        <v>518</v>
      </c>
      <c r="G146" s="5">
        <v>75</v>
      </c>
    </row>
    <row r="147" spans="3:7" x14ac:dyDescent="0.3">
      <c r="C147" t="s">
        <v>7</v>
      </c>
      <c r="D147" t="s">
        <v>38</v>
      </c>
      <c r="E147" t="s">
        <v>28</v>
      </c>
      <c r="F147" s="4">
        <v>5677</v>
      </c>
      <c r="G147" s="5">
        <v>258</v>
      </c>
    </row>
    <row r="148" spans="3:7" x14ac:dyDescent="0.3">
      <c r="C148" t="s">
        <v>6</v>
      </c>
      <c r="D148" t="s">
        <v>39</v>
      </c>
      <c r="E148" t="s">
        <v>17</v>
      </c>
      <c r="F148" s="4">
        <v>6048</v>
      </c>
      <c r="G148" s="5">
        <v>27</v>
      </c>
    </row>
    <row r="149" spans="3:7" x14ac:dyDescent="0.3">
      <c r="C149" t="s">
        <v>8</v>
      </c>
      <c r="D149" t="s">
        <v>38</v>
      </c>
      <c r="E149" t="s">
        <v>32</v>
      </c>
      <c r="F149" s="4">
        <v>3752</v>
      </c>
      <c r="G149" s="5">
        <v>213</v>
      </c>
    </row>
    <row r="150" spans="3:7" x14ac:dyDescent="0.3">
      <c r="C150" t="s">
        <v>5</v>
      </c>
      <c r="D150" t="s">
        <v>35</v>
      </c>
      <c r="E150" t="s">
        <v>29</v>
      </c>
      <c r="F150" s="4">
        <v>4480</v>
      </c>
      <c r="G150" s="5">
        <v>357</v>
      </c>
    </row>
    <row r="151" spans="3:7" x14ac:dyDescent="0.3">
      <c r="C151" t="s">
        <v>9</v>
      </c>
      <c r="D151" t="s">
        <v>37</v>
      </c>
      <c r="E151" t="s">
        <v>4</v>
      </c>
      <c r="F151" s="4">
        <v>259</v>
      </c>
      <c r="G151" s="5">
        <v>207</v>
      </c>
    </row>
    <row r="152" spans="3:7" x14ac:dyDescent="0.3">
      <c r="C152" t="s">
        <v>8</v>
      </c>
      <c r="D152" t="s">
        <v>37</v>
      </c>
      <c r="E152" t="s">
        <v>30</v>
      </c>
      <c r="F152" s="4">
        <v>42</v>
      </c>
      <c r="G152" s="5">
        <v>150</v>
      </c>
    </row>
    <row r="153" spans="3:7" x14ac:dyDescent="0.3">
      <c r="C153" t="s">
        <v>41</v>
      </c>
      <c r="D153" t="s">
        <v>36</v>
      </c>
      <c r="E153" t="s">
        <v>26</v>
      </c>
      <c r="F153" s="4">
        <v>98</v>
      </c>
      <c r="G153" s="5">
        <v>204</v>
      </c>
    </row>
    <row r="154" spans="3:7" x14ac:dyDescent="0.3">
      <c r="C154" t="s">
        <v>7</v>
      </c>
      <c r="D154" t="s">
        <v>35</v>
      </c>
      <c r="E154" t="s">
        <v>27</v>
      </c>
      <c r="F154" s="4">
        <v>2478</v>
      </c>
      <c r="G154" s="5">
        <v>21</v>
      </c>
    </row>
    <row r="155" spans="3:7" x14ac:dyDescent="0.3">
      <c r="C155" t="s">
        <v>41</v>
      </c>
      <c r="D155" t="s">
        <v>34</v>
      </c>
      <c r="E155" t="s">
        <v>33</v>
      </c>
      <c r="F155" s="4">
        <v>7847</v>
      </c>
      <c r="G155" s="5">
        <v>174</v>
      </c>
    </row>
    <row r="156" spans="3:7" x14ac:dyDescent="0.3">
      <c r="C156" t="s">
        <v>2</v>
      </c>
      <c r="D156" t="s">
        <v>37</v>
      </c>
      <c r="E156" t="s">
        <v>17</v>
      </c>
      <c r="F156" s="4">
        <v>9926</v>
      </c>
      <c r="G156" s="5">
        <v>201</v>
      </c>
    </row>
    <row r="157" spans="3:7" x14ac:dyDescent="0.3">
      <c r="C157" t="s">
        <v>8</v>
      </c>
      <c r="D157" t="s">
        <v>38</v>
      </c>
      <c r="E157" t="s">
        <v>13</v>
      </c>
      <c r="F157" s="4">
        <v>819</v>
      </c>
      <c r="G157" s="5">
        <v>510</v>
      </c>
    </row>
    <row r="158" spans="3:7" x14ac:dyDescent="0.3">
      <c r="C158" t="s">
        <v>6</v>
      </c>
      <c r="D158" t="s">
        <v>39</v>
      </c>
      <c r="E158" t="s">
        <v>29</v>
      </c>
      <c r="F158" s="4">
        <v>3052</v>
      </c>
      <c r="G158" s="5">
        <v>378</v>
      </c>
    </row>
    <row r="159" spans="3:7" x14ac:dyDescent="0.3">
      <c r="C159" t="s">
        <v>9</v>
      </c>
      <c r="D159" t="s">
        <v>34</v>
      </c>
      <c r="E159" t="s">
        <v>21</v>
      </c>
      <c r="F159" s="4">
        <v>6832</v>
      </c>
      <c r="G159" s="5">
        <v>27</v>
      </c>
    </row>
    <row r="160" spans="3:7" x14ac:dyDescent="0.3">
      <c r="C160" t="s">
        <v>2</v>
      </c>
      <c r="D160" t="s">
        <v>39</v>
      </c>
      <c r="E160" t="s">
        <v>16</v>
      </c>
      <c r="F160" s="4">
        <v>2016</v>
      </c>
      <c r="G160" s="5">
        <v>117</v>
      </c>
    </row>
    <row r="161" spans="3:7" x14ac:dyDescent="0.3">
      <c r="C161" t="s">
        <v>6</v>
      </c>
      <c r="D161" t="s">
        <v>38</v>
      </c>
      <c r="E161" t="s">
        <v>21</v>
      </c>
      <c r="F161" s="4">
        <v>7322</v>
      </c>
      <c r="G161" s="5">
        <v>36</v>
      </c>
    </row>
    <row r="162" spans="3:7" x14ac:dyDescent="0.3">
      <c r="C162" t="s">
        <v>8</v>
      </c>
      <c r="D162" t="s">
        <v>35</v>
      </c>
      <c r="E162" t="s">
        <v>33</v>
      </c>
      <c r="F162" s="4">
        <v>357</v>
      </c>
      <c r="G162" s="5">
        <v>126</v>
      </c>
    </row>
    <row r="163" spans="3:7" x14ac:dyDescent="0.3">
      <c r="C163" t="s">
        <v>9</v>
      </c>
      <c r="D163" t="s">
        <v>39</v>
      </c>
      <c r="E163" t="s">
        <v>25</v>
      </c>
      <c r="F163" s="4">
        <v>3192</v>
      </c>
      <c r="G163" s="5">
        <v>72</v>
      </c>
    </row>
    <row r="164" spans="3:7" x14ac:dyDescent="0.3">
      <c r="C164" t="s">
        <v>7</v>
      </c>
      <c r="D164" t="s">
        <v>36</v>
      </c>
      <c r="E164" t="s">
        <v>22</v>
      </c>
      <c r="F164" s="4">
        <v>8435</v>
      </c>
      <c r="G164" s="5">
        <v>42</v>
      </c>
    </row>
    <row r="165" spans="3:7" x14ac:dyDescent="0.3">
      <c r="C165" t="s">
        <v>40</v>
      </c>
      <c r="D165" t="s">
        <v>39</v>
      </c>
      <c r="E165" t="s">
        <v>29</v>
      </c>
      <c r="F165" s="4">
        <v>0</v>
      </c>
      <c r="G165" s="5">
        <v>135</v>
      </c>
    </row>
    <row r="166" spans="3:7" x14ac:dyDescent="0.3">
      <c r="C166" t="s">
        <v>7</v>
      </c>
      <c r="D166" t="s">
        <v>34</v>
      </c>
      <c r="E166" t="s">
        <v>24</v>
      </c>
      <c r="F166" s="4">
        <v>8862</v>
      </c>
      <c r="G166" s="5">
        <v>189</v>
      </c>
    </row>
    <row r="167" spans="3:7" x14ac:dyDescent="0.3">
      <c r="C167" t="s">
        <v>6</v>
      </c>
      <c r="D167" t="s">
        <v>37</v>
      </c>
      <c r="E167" t="s">
        <v>28</v>
      </c>
      <c r="F167" s="4">
        <v>3556</v>
      </c>
      <c r="G167" s="5">
        <v>459</v>
      </c>
    </row>
    <row r="168" spans="3:7" x14ac:dyDescent="0.3">
      <c r="C168" t="s">
        <v>5</v>
      </c>
      <c r="D168" t="s">
        <v>34</v>
      </c>
      <c r="E168" t="s">
        <v>15</v>
      </c>
      <c r="F168" s="4">
        <v>7280</v>
      </c>
      <c r="G168" s="5">
        <v>201</v>
      </c>
    </row>
    <row r="169" spans="3:7" x14ac:dyDescent="0.3">
      <c r="C169" t="s">
        <v>6</v>
      </c>
      <c r="D169" t="s">
        <v>34</v>
      </c>
      <c r="E169" t="s">
        <v>30</v>
      </c>
      <c r="F169" s="4">
        <v>3402</v>
      </c>
      <c r="G169" s="5">
        <v>366</v>
      </c>
    </row>
    <row r="170" spans="3:7" x14ac:dyDescent="0.3">
      <c r="C170" t="s">
        <v>3</v>
      </c>
      <c r="D170" t="s">
        <v>37</v>
      </c>
      <c r="E170" t="s">
        <v>29</v>
      </c>
      <c r="F170" s="4">
        <v>4592</v>
      </c>
      <c r="G170" s="5">
        <v>324</v>
      </c>
    </row>
    <row r="171" spans="3:7" x14ac:dyDescent="0.3">
      <c r="C171" t="s">
        <v>9</v>
      </c>
      <c r="D171" t="s">
        <v>35</v>
      </c>
      <c r="E171" t="s">
        <v>15</v>
      </c>
      <c r="F171" s="4">
        <v>7833</v>
      </c>
      <c r="G171" s="5">
        <v>243</v>
      </c>
    </row>
    <row r="172" spans="3:7" x14ac:dyDescent="0.3">
      <c r="C172" t="s">
        <v>2</v>
      </c>
      <c r="D172" t="s">
        <v>39</v>
      </c>
      <c r="E172" t="s">
        <v>21</v>
      </c>
      <c r="F172" s="4">
        <v>7651</v>
      </c>
      <c r="G172" s="5">
        <v>213</v>
      </c>
    </row>
    <row r="173" spans="3:7" x14ac:dyDescent="0.3">
      <c r="C173" t="s">
        <v>40</v>
      </c>
      <c r="D173" t="s">
        <v>35</v>
      </c>
      <c r="E173" t="s">
        <v>30</v>
      </c>
      <c r="F173" s="4">
        <v>2275</v>
      </c>
      <c r="G173" s="5">
        <v>447</v>
      </c>
    </row>
    <row r="174" spans="3:7" x14ac:dyDescent="0.3">
      <c r="C174" t="s">
        <v>40</v>
      </c>
      <c r="D174" t="s">
        <v>38</v>
      </c>
      <c r="E174" t="s">
        <v>13</v>
      </c>
      <c r="F174" s="4">
        <v>5670</v>
      </c>
      <c r="G174" s="5">
        <v>297</v>
      </c>
    </row>
    <row r="175" spans="3:7" x14ac:dyDescent="0.3">
      <c r="C175" t="s">
        <v>7</v>
      </c>
      <c r="D175" t="s">
        <v>35</v>
      </c>
      <c r="E175" t="s">
        <v>16</v>
      </c>
      <c r="F175" s="4">
        <v>2135</v>
      </c>
      <c r="G175" s="5">
        <v>27</v>
      </c>
    </row>
    <row r="176" spans="3:7" x14ac:dyDescent="0.3">
      <c r="C176" t="s">
        <v>40</v>
      </c>
      <c r="D176" t="s">
        <v>34</v>
      </c>
      <c r="E176" t="s">
        <v>23</v>
      </c>
      <c r="F176" s="4">
        <v>2779</v>
      </c>
      <c r="G176" s="5">
        <v>75</v>
      </c>
    </row>
    <row r="177" spans="3:7" x14ac:dyDescent="0.3">
      <c r="C177" t="s">
        <v>10</v>
      </c>
      <c r="D177" t="s">
        <v>39</v>
      </c>
      <c r="E177" t="s">
        <v>33</v>
      </c>
      <c r="F177" s="4">
        <v>12950</v>
      </c>
      <c r="G177" s="5">
        <v>30</v>
      </c>
    </row>
    <row r="178" spans="3:7" x14ac:dyDescent="0.3">
      <c r="C178" t="s">
        <v>7</v>
      </c>
      <c r="D178" t="s">
        <v>36</v>
      </c>
      <c r="E178" t="s">
        <v>18</v>
      </c>
      <c r="F178" s="4">
        <v>2646</v>
      </c>
      <c r="G178" s="5">
        <v>177</v>
      </c>
    </row>
    <row r="179" spans="3:7" x14ac:dyDescent="0.3">
      <c r="C179" t="s">
        <v>40</v>
      </c>
      <c r="D179" t="s">
        <v>34</v>
      </c>
      <c r="E179" t="s">
        <v>33</v>
      </c>
      <c r="F179" s="4">
        <v>3794</v>
      </c>
      <c r="G179" s="5">
        <v>159</v>
      </c>
    </row>
    <row r="180" spans="3:7" x14ac:dyDescent="0.3">
      <c r="C180" t="s">
        <v>3</v>
      </c>
      <c r="D180" t="s">
        <v>35</v>
      </c>
      <c r="E180" t="s">
        <v>33</v>
      </c>
      <c r="F180" s="4">
        <v>819</v>
      </c>
      <c r="G180" s="5">
        <v>306</v>
      </c>
    </row>
    <row r="181" spans="3:7" x14ac:dyDescent="0.3">
      <c r="C181" t="s">
        <v>3</v>
      </c>
      <c r="D181" t="s">
        <v>34</v>
      </c>
      <c r="E181" t="s">
        <v>20</v>
      </c>
      <c r="F181" s="4">
        <v>2583</v>
      </c>
      <c r="G181" s="5">
        <v>18</v>
      </c>
    </row>
    <row r="182" spans="3:7" x14ac:dyDescent="0.3">
      <c r="C182" t="s">
        <v>7</v>
      </c>
      <c r="D182" t="s">
        <v>35</v>
      </c>
      <c r="E182" t="s">
        <v>19</v>
      </c>
      <c r="F182" s="4">
        <v>4585</v>
      </c>
      <c r="G182" s="5">
        <v>240</v>
      </c>
    </row>
    <row r="183" spans="3:7" x14ac:dyDescent="0.3">
      <c r="C183" t="s">
        <v>5</v>
      </c>
      <c r="D183" t="s">
        <v>34</v>
      </c>
      <c r="E183" t="s">
        <v>33</v>
      </c>
      <c r="F183" s="4">
        <v>1652</v>
      </c>
      <c r="G183" s="5">
        <v>93</v>
      </c>
    </row>
    <row r="184" spans="3:7" x14ac:dyDescent="0.3">
      <c r="C184" t="s">
        <v>10</v>
      </c>
      <c r="D184" t="s">
        <v>34</v>
      </c>
      <c r="E184" t="s">
        <v>26</v>
      </c>
      <c r="F184" s="4">
        <v>4991</v>
      </c>
      <c r="G184" s="5">
        <v>9</v>
      </c>
    </row>
    <row r="185" spans="3:7" x14ac:dyDescent="0.3">
      <c r="C185" t="s">
        <v>8</v>
      </c>
      <c r="D185" t="s">
        <v>34</v>
      </c>
      <c r="E185" t="s">
        <v>16</v>
      </c>
      <c r="F185" s="4">
        <v>2009</v>
      </c>
      <c r="G185" s="5">
        <v>219</v>
      </c>
    </row>
    <row r="186" spans="3:7" x14ac:dyDescent="0.3">
      <c r="C186" t="s">
        <v>2</v>
      </c>
      <c r="D186" t="s">
        <v>39</v>
      </c>
      <c r="E186" t="s">
        <v>22</v>
      </c>
      <c r="F186" s="4">
        <v>1568</v>
      </c>
      <c r="G186" s="5">
        <v>141</v>
      </c>
    </row>
    <row r="187" spans="3:7" x14ac:dyDescent="0.3">
      <c r="C187" t="s">
        <v>41</v>
      </c>
      <c r="D187" t="s">
        <v>37</v>
      </c>
      <c r="E187" t="s">
        <v>20</v>
      </c>
      <c r="F187" s="4">
        <v>3388</v>
      </c>
      <c r="G187" s="5">
        <v>123</v>
      </c>
    </row>
    <row r="188" spans="3:7" x14ac:dyDescent="0.3">
      <c r="C188" t="s">
        <v>40</v>
      </c>
      <c r="D188" t="s">
        <v>38</v>
      </c>
      <c r="E188" t="s">
        <v>24</v>
      </c>
      <c r="F188" s="4">
        <v>623</v>
      </c>
      <c r="G188" s="5">
        <v>51</v>
      </c>
    </row>
    <row r="189" spans="3:7" x14ac:dyDescent="0.3">
      <c r="C189" t="s">
        <v>6</v>
      </c>
      <c r="D189" t="s">
        <v>36</v>
      </c>
      <c r="E189" t="s">
        <v>4</v>
      </c>
      <c r="F189" s="4">
        <v>10073</v>
      </c>
      <c r="G189" s="5">
        <v>120</v>
      </c>
    </row>
    <row r="190" spans="3:7" x14ac:dyDescent="0.3">
      <c r="C190" t="s">
        <v>8</v>
      </c>
      <c r="D190" t="s">
        <v>39</v>
      </c>
      <c r="E190" t="s">
        <v>26</v>
      </c>
      <c r="F190" s="4">
        <v>1561</v>
      </c>
      <c r="G190" s="5">
        <v>27</v>
      </c>
    </row>
    <row r="191" spans="3:7" x14ac:dyDescent="0.3">
      <c r="C191" t="s">
        <v>9</v>
      </c>
      <c r="D191" t="s">
        <v>36</v>
      </c>
      <c r="E191" t="s">
        <v>27</v>
      </c>
      <c r="F191" s="4">
        <v>11522</v>
      </c>
      <c r="G191" s="5">
        <v>204</v>
      </c>
    </row>
    <row r="192" spans="3:7" x14ac:dyDescent="0.3">
      <c r="C192" t="s">
        <v>6</v>
      </c>
      <c r="D192" t="s">
        <v>38</v>
      </c>
      <c r="E192" t="s">
        <v>13</v>
      </c>
      <c r="F192" s="4">
        <v>2317</v>
      </c>
      <c r="G192" s="5">
        <v>123</v>
      </c>
    </row>
    <row r="193" spans="3:7" x14ac:dyDescent="0.3">
      <c r="C193" t="s">
        <v>10</v>
      </c>
      <c r="D193" t="s">
        <v>37</v>
      </c>
      <c r="E193" t="s">
        <v>28</v>
      </c>
      <c r="F193" s="4">
        <v>3059</v>
      </c>
      <c r="G193" s="5">
        <v>27</v>
      </c>
    </row>
    <row r="194" spans="3:7" x14ac:dyDescent="0.3">
      <c r="C194" t="s">
        <v>41</v>
      </c>
      <c r="D194" t="s">
        <v>37</v>
      </c>
      <c r="E194" t="s">
        <v>26</v>
      </c>
      <c r="F194" s="4">
        <v>2324</v>
      </c>
      <c r="G194" s="5">
        <v>177</v>
      </c>
    </row>
    <row r="195" spans="3:7" x14ac:dyDescent="0.3">
      <c r="C195" t="s">
        <v>3</v>
      </c>
      <c r="D195" t="s">
        <v>39</v>
      </c>
      <c r="E195" t="s">
        <v>26</v>
      </c>
      <c r="F195" s="4">
        <v>4956</v>
      </c>
      <c r="G195" s="5">
        <v>171</v>
      </c>
    </row>
    <row r="196" spans="3:7" x14ac:dyDescent="0.3">
      <c r="C196" t="s">
        <v>10</v>
      </c>
      <c r="D196" t="s">
        <v>34</v>
      </c>
      <c r="E196" t="s">
        <v>19</v>
      </c>
      <c r="F196" s="4">
        <v>5355</v>
      </c>
      <c r="G196" s="5">
        <v>204</v>
      </c>
    </row>
    <row r="197" spans="3:7" x14ac:dyDescent="0.3">
      <c r="C197" t="s">
        <v>3</v>
      </c>
      <c r="D197" t="s">
        <v>34</v>
      </c>
      <c r="E197" t="s">
        <v>14</v>
      </c>
      <c r="F197" s="4">
        <v>7259</v>
      </c>
      <c r="G197" s="5">
        <v>276</v>
      </c>
    </row>
    <row r="198" spans="3:7" x14ac:dyDescent="0.3">
      <c r="C198" t="s">
        <v>8</v>
      </c>
      <c r="D198" t="s">
        <v>37</v>
      </c>
      <c r="E198" t="s">
        <v>26</v>
      </c>
      <c r="F198" s="4">
        <v>6279</v>
      </c>
      <c r="G198" s="5">
        <v>45</v>
      </c>
    </row>
    <row r="199" spans="3:7" x14ac:dyDescent="0.3">
      <c r="C199" t="s">
        <v>40</v>
      </c>
      <c r="D199" t="s">
        <v>38</v>
      </c>
      <c r="E199" t="s">
        <v>29</v>
      </c>
      <c r="F199" s="4">
        <v>2541</v>
      </c>
      <c r="G199" s="5">
        <v>45</v>
      </c>
    </row>
    <row r="200" spans="3:7" x14ac:dyDescent="0.3">
      <c r="C200" t="s">
        <v>6</v>
      </c>
      <c r="D200" t="s">
        <v>35</v>
      </c>
      <c r="E200" t="s">
        <v>27</v>
      </c>
      <c r="F200" s="4">
        <v>3864</v>
      </c>
      <c r="G200" s="5">
        <v>177</v>
      </c>
    </row>
    <row r="201" spans="3:7" x14ac:dyDescent="0.3">
      <c r="C201" t="s">
        <v>5</v>
      </c>
      <c r="D201" t="s">
        <v>36</v>
      </c>
      <c r="E201" t="s">
        <v>13</v>
      </c>
      <c r="F201" s="4">
        <v>6146</v>
      </c>
      <c r="G201" s="5">
        <v>63</v>
      </c>
    </row>
    <row r="202" spans="3:7" x14ac:dyDescent="0.3">
      <c r="C202" t="s">
        <v>9</v>
      </c>
      <c r="D202" t="s">
        <v>39</v>
      </c>
      <c r="E202" t="s">
        <v>18</v>
      </c>
      <c r="F202" s="4">
        <v>2639</v>
      </c>
      <c r="G202" s="5">
        <v>204</v>
      </c>
    </row>
    <row r="203" spans="3:7" x14ac:dyDescent="0.3">
      <c r="C203" t="s">
        <v>8</v>
      </c>
      <c r="D203" t="s">
        <v>37</v>
      </c>
      <c r="E203" t="s">
        <v>22</v>
      </c>
      <c r="F203" s="4">
        <v>1890</v>
      </c>
      <c r="G203" s="5">
        <v>195</v>
      </c>
    </row>
    <row r="204" spans="3:7" x14ac:dyDescent="0.3">
      <c r="C204" t="s">
        <v>7</v>
      </c>
      <c r="D204" t="s">
        <v>34</v>
      </c>
      <c r="E204" t="s">
        <v>14</v>
      </c>
      <c r="F204" s="4">
        <v>1932</v>
      </c>
      <c r="G204" s="5">
        <v>369</v>
      </c>
    </row>
    <row r="205" spans="3:7" x14ac:dyDescent="0.3">
      <c r="C205" t="s">
        <v>3</v>
      </c>
      <c r="D205" t="s">
        <v>34</v>
      </c>
      <c r="E205" t="s">
        <v>25</v>
      </c>
      <c r="F205" s="4">
        <v>6300</v>
      </c>
      <c r="G205" s="5">
        <v>42</v>
      </c>
    </row>
    <row r="206" spans="3:7" x14ac:dyDescent="0.3">
      <c r="C206" t="s">
        <v>6</v>
      </c>
      <c r="D206" t="s">
        <v>37</v>
      </c>
      <c r="E206" t="s">
        <v>30</v>
      </c>
      <c r="F206" s="4">
        <v>560</v>
      </c>
      <c r="G206" s="5">
        <v>81</v>
      </c>
    </row>
    <row r="207" spans="3:7" x14ac:dyDescent="0.3">
      <c r="C207" t="s">
        <v>9</v>
      </c>
      <c r="D207" t="s">
        <v>37</v>
      </c>
      <c r="E207" t="s">
        <v>26</v>
      </c>
      <c r="F207" s="4">
        <v>2856</v>
      </c>
      <c r="G207" s="5">
        <v>246</v>
      </c>
    </row>
    <row r="208" spans="3:7" x14ac:dyDescent="0.3">
      <c r="C208" t="s">
        <v>9</v>
      </c>
      <c r="D208" t="s">
        <v>34</v>
      </c>
      <c r="E208" t="s">
        <v>17</v>
      </c>
      <c r="F208" s="4">
        <v>707</v>
      </c>
      <c r="G208" s="5">
        <v>174</v>
      </c>
    </row>
    <row r="209" spans="3:7" x14ac:dyDescent="0.3">
      <c r="C209" t="s">
        <v>8</v>
      </c>
      <c r="D209" t="s">
        <v>35</v>
      </c>
      <c r="E209" t="s">
        <v>30</v>
      </c>
      <c r="F209" s="4">
        <v>3598</v>
      </c>
      <c r="G209" s="5">
        <v>81</v>
      </c>
    </row>
    <row r="210" spans="3:7" x14ac:dyDescent="0.3">
      <c r="C210" t="s">
        <v>40</v>
      </c>
      <c r="D210" t="s">
        <v>35</v>
      </c>
      <c r="E210" t="s">
        <v>22</v>
      </c>
      <c r="F210" s="4">
        <v>6853</v>
      </c>
      <c r="G210" s="5">
        <v>372</v>
      </c>
    </row>
    <row r="211" spans="3:7" x14ac:dyDescent="0.3">
      <c r="C211" t="s">
        <v>40</v>
      </c>
      <c r="D211" t="s">
        <v>35</v>
      </c>
      <c r="E211" t="s">
        <v>16</v>
      </c>
      <c r="F211" s="4">
        <v>4725</v>
      </c>
      <c r="G211" s="5">
        <v>174</v>
      </c>
    </row>
    <row r="212" spans="3:7" x14ac:dyDescent="0.3">
      <c r="C212" t="s">
        <v>41</v>
      </c>
      <c r="D212" t="s">
        <v>36</v>
      </c>
      <c r="E212" t="s">
        <v>32</v>
      </c>
      <c r="F212" s="4">
        <v>10304</v>
      </c>
      <c r="G212" s="5">
        <v>84</v>
      </c>
    </row>
    <row r="213" spans="3:7" x14ac:dyDescent="0.3">
      <c r="C213" t="s">
        <v>41</v>
      </c>
      <c r="D213" t="s">
        <v>34</v>
      </c>
      <c r="E213" t="s">
        <v>16</v>
      </c>
      <c r="F213" s="4">
        <v>1274</v>
      </c>
      <c r="G213" s="5">
        <v>225</v>
      </c>
    </row>
    <row r="214" spans="3:7" x14ac:dyDescent="0.3">
      <c r="C214" t="s">
        <v>5</v>
      </c>
      <c r="D214" t="s">
        <v>36</v>
      </c>
      <c r="E214" t="s">
        <v>30</v>
      </c>
      <c r="F214" s="4">
        <v>1526</v>
      </c>
      <c r="G214" s="5">
        <v>105</v>
      </c>
    </row>
    <row r="215" spans="3:7" x14ac:dyDescent="0.3">
      <c r="C215" t="s">
        <v>40</v>
      </c>
      <c r="D215" t="s">
        <v>39</v>
      </c>
      <c r="E215" t="s">
        <v>28</v>
      </c>
      <c r="F215" s="4">
        <v>3101</v>
      </c>
      <c r="G215" s="5">
        <v>225</v>
      </c>
    </row>
    <row r="216" spans="3:7" x14ac:dyDescent="0.3">
      <c r="C216" t="s">
        <v>2</v>
      </c>
      <c r="D216" t="s">
        <v>37</v>
      </c>
      <c r="E216" t="s">
        <v>14</v>
      </c>
      <c r="F216" s="4">
        <v>1057</v>
      </c>
      <c r="G216" s="5">
        <v>54</v>
      </c>
    </row>
    <row r="217" spans="3:7" x14ac:dyDescent="0.3">
      <c r="C217" t="s">
        <v>7</v>
      </c>
      <c r="D217" t="s">
        <v>37</v>
      </c>
      <c r="E217" t="s">
        <v>26</v>
      </c>
      <c r="F217" s="4">
        <v>5306</v>
      </c>
      <c r="G217" s="5">
        <v>0</v>
      </c>
    </row>
    <row r="218" spans="3:7" x14ac:dyDescent="0.3">
      <c r="C218" t="s">
        <v>5</v>
      </c>
      <c r="D218" t="s">
        <v>39</v>
      </c>
      <c r="E218" t="s">
        <v>24</v>
      </c>
      <c r="F218" s="4">
        <v>4018</v>
      </c>
      <c r="G218" s="5">
        <v>171</v>
      </c>
    </row>
    <row r="219" spans="3:7" x14ac:dyDescent="0.3">
      <c r="C219" t="s">
        <v>9</v>
      </c>
      <c r="D219" t="s">
        <v>34</v>
      </c>
      <c r="E219" t="s">
        <v>16</v>
      </c>
      <c r="F219" s="4">
        <v>938</v>
      </c>
      <c r="G219" s="5">
        <v>189</v>
      </c>
    </row>
    <row r="220" spans="3:7" x14ac:dyDescent="0.3">
      <c r="C220" t="s">
        <v>7</v>
      </c>
      <c r="D220" t="s">
        <v>38</v>
      </c>
      <c r="E220" t="s">
        <v>18</v>
      </c>
      <c r="F220" s="4">
        <v>1778</v>
      </c>
      <c r="G220" s="5">
        <v>270</v>
      </c>
    </row>
    <row r="221" spans="3:7" x14ac:dyDescent="0.3">
      <c r="C221" t="s">
        <v>6</v>
      </c>
      <c r="D221" t="s">
        <v>39</v>
      </c>
      <c r="E221" t="s">
        <v>30</v>
      </c>
      <c r="F221" s="4">
        <v>1638</v>
      </c>
      <c r="G221" s="5">
        <v>63</v>
      </c>
    </row>
    <row r="222" spans="3:7" x14ac:dyDescent="0.3">
      <c r="C222" t="s">
        <v>41</v>
      </c>
      <c r="D222" t="s">
        <v>38</v>
      </c>
      <c r="E222" t="s">
        <v>25</v>
      </c>
      <c r="F222" s="4">
        <v>154</v>
      </c>
      <c r="G222" s="5">
        <v>21</v>
      </c>
    </row>
    <row r="223" spans="3:7" x14ac:dyDescent="0.3">
      <c r="C223" t="s">
        <v>7</v>
      </c>
      <c r="D223" t="s">
        <v>37</v>
      </c>
      <c r="E223" t="s">
        <v>22</v>
      </c>
      <c r="F223" s="4">
        <v>9835</v>
      </c>
      <c r="G223" s="5">
        <v>207</v>
      </c>
    </row>
    <row r="224" spans="3:7" x14ac:dyDescent="0.3">
      <c r="C224" t="s">
        <v>9</v>
      </c>
      <c r="D224" t="s">
        <v>37</v>
      </c>
      <c r="E224" t="s">
        <v>20</v>
      </c>
      <c r="F224" s="4">
        <v>7273</v>
      </c>
      <c r="G224" s="5">
        <v>96</v>
      </c>
    </row>
    <row r="225" spans="3:7" x14ac:dyDescent="0.3">
      <c r="C225" t="s">
        <v>5</v>
      </c>
      <c r="D225" t="s">
        <v>39</v>
      </c>
      <c r="E225" t="s">
        <v>22</v>
      </c>
      <c r="F225" s="4">
        <v>6909</v>
      </c>
      <c r="G225" s="5">
        <v>81</v>
      </c>
    </row>
    <row r="226" spans="3:7" x14ac:dyDescent="0.3">
      <c r="C226" t="s">
        <v>9</v>
      </c>
      <c r="D226" t="s">
        <v>39</v>
      </c>
      <c r="E226" t="s">
        <v>24</v>
      </c>
      <c r="F226" s="4">
        <v>3920</v>
      </c>
      <c r="G226" s="5">
        <v>306</v>
      </c>
    </row>
    <row r="227" spans="3:7" x14ac:dyDescent="0.3">
      <c r="C227" t="s">
        <v>10</v>
      </c>
      <c r="D227" t="s">
        <v>39</v>
      </c>
      <c r="E227" t="s">
        <v>21</v>
      </c>
      <c r="F227" s="4">
        <v>4858</v>
      </c>
      <c r="G227" s="5">
        <v>279</v>
      </c>
    </row>
    <row r="228" spans="3:7" x14ac:dyDescent="0.3">
      <c r="C228" t="s">
        <v>2</v>
      </c>
      <c r="D228" t="s">
        <v>38</v>
      </c>
      <c r="E228" t="s">
        <v>4</v>
      </c>
      <c r="F228" s="4">
        <v>3549</v>
      </c>
      <c r="G228" s="5">
        <v>3</v>
      </c>
    </row>
    <row r="229" spans="3:7" x14ac:dyDescent="0.3">
      <c r="C229" t="s">
        <v>7</v>
      </c>
      <c r="D229" t="s">
        <v>39</v>
      </c>
      <c r="E229" t="s">
        <v>27</v>
      </c>
      <c r="F229" s="4">
        <v>966</v>
      </c>
      <c r="G229" s="5">
        <v>198</v>
      </c>
    </row>
    <row r="230" spans="3:7" x14ac:dyDescent="0.3">
      <c r="C230" t="s">
        <v>5</v>
      </c>
      <c r="D230" t="s">
        <v>39</v>
      </c>
      <c r="E230" t="s">
        <v>18</v>
      </c>
      <c r="F230" s="4">
        <v>385</v>
      </c>
      <c r="G230" s="5">
        <v>249</v>
      </c>
    </row>
    <row r="231" spans="3:7" x14ac:dyDescent="0.3">
      <c r="C231" t="s">
        <v>6</v>
      </c>
      <c r="D231" t="s">
        <v>34</v>
      </c>
      <c r="E231" t="s">
        <v>16</v>
      </c>
      <c r="F231" s="4">
        <v>2219</v>
      </c>
      <c r="G231" s="5">
        <v>75</v>
      </c>
    </row>
    <row r="232" spans="3:7" x14ac:dyDescent="0.3">
      <c r="C232" t="s">
        <v>9</v>
      </c>
      <c r="D232" t="s">
        <v>36</v>
      </c>
      <c r="E232" t="s">
        <v>32</v>
      </c>
      <c r="F232" s="4">
        <v>2954</v>
      </c>
      <c r="G232" s="5">
        <v>189</v>
      </c>
    </row>
    <row r="233" spans="3:7" x14ac:dyDescent="0.3">
      <c r="C233" t="s">
        <v>7</v>
      </c>
      <c r="D233" t="s">
        <v>36</v>
      </c>
      <c r="E233" t="s">
        <v>32</v>
      </c>
      <c r="F233" s="4">
        <v>280</v>
      </c>
      <c r="G233" s="5">
        <v>87</v>
      </c>
    </row>
    <row r="234" spans="3:7" x14ac:dyDescent="0.3">
      <c r="C234" t="s">
        <v>41</v>
      </c>
      <c r="D234" t="s">
        <v>36</v>
      </c>
      <c r="E234" t="s">
        <v>30</v>
      </c>
      <c r="F234" s="4">
        <v>6118</v>
      </c>
      <c r="G234" s="5">
        <v>174</v>
      </c>
    </row>
    <row r="235" spans="3:7" x14ac:dyDescent="0.3">
      <c r="C235" t="s">
        <v>2</v>
      </c>
      <c r="D235" t="s">
        <v>39</v>
      </c>
      <c r="E235" t="s">
        <v>15</v>
      </c>
      <c r="F235" s="4">
        <v>4802</v>
      </c>
      <c r="G235" s="5">
        <v>36</v>
      </c>
    </row>
    <row r="236" spans="3:7" x14ac:dyDescent="0.3">
      <c r="C236" t="s">
        <v>9</v>
      </c>
      <c r="D236" t="s">
        <v>38</v>
      </c>
      <c r="E236" t="s">
        <v>24</v>
      </c>
      <c r="F236" s="4">
        <v>4137</v>
      </c>
      <c r="G236" s="5">
        <v>60</v>
      </c>
    </row>
    <row r="237" spans="3:7" x14ac:dyDescent="0.3">
      <c r="C237" t="s">
        <v>3</v>
      </c>
      <c r="D237" t="s">
        <v>35</v>
      </c>
      <c r="E237" t="s">
        <v>23</v>
      </c>
      <c r="F237" s="4">
        <v>2023</v>
      </c>
      <c r="G237" s="5">
        <v>78</v>
      </c>
    </row>
    <row r="238" spans="3:7" x14ac:dyDescent="0.3">
      <c r="C238" t="s">
        <v>9</v>
      </c>
      <c r="D238" t="s">
        <v>36</v>
      </c>
      <c r="E238" t="s">
        <v>30</v>
      </c>
      <c r="F238" s="4">
        <v>9051</v>
      </c>
      <c r="G238" s="5">
        <v>57</v>
      </c>
    </row>
    <row r="239" spans="3:7" x14ac:dyDescent="0.3">
      <c r="C239" t="s">
        <v>9</v>
      </c>
      <c r="D239" t="s">
        <v>37</v>
      </c>
      <c r="E239" t="s">
        <v>28</v>
      </c>
      <c r="F239" s="4">
        <v>2919</v>
      </c>
      <c r="G239" s="5">
        <v>45</v>
      </c>
    </row>
    <row r="240" spans="3:7" x14ac:dyDescent="0.3">
      <c r="C240" t="s">
        <v>41</v>
      </c>
      <c r="D240" t="s">
        <v>38</v>
      </c>
      <c r="E240" t="s">
        <v>22</v>
      </c>
      <c r="F240" s="4">
        <v>5915</v>
      </c>
      <c r="G240" s="5">
        <v>3</v>
      </c>
    </row>
    <row r="241" spans="3:7" x14ac:dyDescent="0.3">
      <c r="C241" t="s">
        <v>10</v>
      </c>
      <c r="D241" t="s">
        <v>35</v>
      </c>
      <c r="E241" t="s">
        <v>15</v>
      </c>
      <c r="F241" s="4">
        <v>2562</v>
      </c>
      <c r="G241" s="5">
        <v>6</v>
      </c>
    </row>
    <row r="242" spans="3:7" x14ac:dyDescent="0.3">
      <c r="C242" t="s">
        <v>5</v>
      </c>
      <c r="D242" t="s">
        <v>37</v>
      </c>
      <c r="E242" t="s">
        <v>25</v>
      </c>
      <c r="F242" s="4">
        <v>8813</v>
      </c>
      <c r="G242" s="5">
        <v>21</v>
      </c>
    </row>
    <row r="243" spans="3:7" x14ac:dyDescent="0.3">
      <c r="C243" t="s">
        <v>5</v>
      </c>
      <c r="D243" t="s">
        <v>36</v>
      </c>
      <c r="E243" t="s">
        <v>18</v>
      </c>
      <c r="F243" s="4">
        <v>6111</v>
      </c>
      <c r="G243" s="5">
        <v>3</v>
      </c>
    </row>
    <row r="244" spans="3:7" x14ac:dyDescent="0.3">
      <c r="C244" t="s">
        <v>8</v>
      </c>
      <c r="D244" t="s">
        <v>34</v>
      </c>
      <c r="E244" t="s">
        <v>31</v>
      </c>
      <c r="F244" s="4">
        <v>3507</v>
      </c>
      <c r="G244" s="5">
        <v>288</v>
      </c>
    </row>
    <row r="245" spans="3:7" x14ac:dyDescent="0.3">
      <c r="C245" t="s">
        <v>6</v>
      </c>
      <c r="D245" t="s">
        <v>36</v>
      </c>
      <c r="E245" t="s">
        <v>13</v>
      </c>
      <c r="F245" s="4">
        <v>4319</v>
      </c>
      <c r="G245" s="5">
        <v>30</v>
      </c>
    </row>
    <row r="246" spans="3:7" x14ac:dyDescent="0.3">
      <c r="C246" t="s">
        <v>40</v>
      </c>
      <c r="D246" t="s">
        <v>38</v>
      </c>
      <c r="E246" t="s">
        <v>26</v>
      </c>
      <c r="F246" s="4">
        <v>609</v>
      </c>
      <c r="G246" s="5">
        <v>87</v>
      </c>
    </row>
    <row r="247" spans="3:7" x14ac:dyDescent="0.3">
      <c r="C247" t="s">
        <v>40</v>
      </c>
      <c r="D247" t="s">
        <v>39</v>
      </c>
      <c r="E247" t="s">
        <v>27</v>
      </c>
      <c r="F247" s="4">
        <v>6370</v>
      </c>
      <c r="G247" s="5">
        <v>30</v>
      </c>
    </row>
    <row r="248" spans="3:7" x14ac:dyDescent="0.3">
      <c r="C248" t="s">
        <v>5</v>
      </c>
      <c r="D248" t="s">
        <v>38</v>
      </c>
      <c r="E248" t="s">
        <v>19</v>
      </c>
      <c r="F248" s="4">
        <v>5474</v>
      </c>
      <c r="G248" s="5">
        <v>168</v>
      </c>
    </row>
    <row r="249" spans="3:7" x14ac:dyDescent="0.3">
      <c r="C249" t="s">
        <v>40</v>
      </c>
      <c r="D249" t="s">
        <v>36</v>
      </c>
      <c r="E249" t="s">
        <v>27</v>
      </c>
      <c r="F249" s="4">
        <v>3164</v>
      </c>
      <c r="G249" s="5">
        <v>306</v>
      </c>
    </row>
    <row r="250" spans="3:7" x14ac:dyDescent="0.3">
      <c r="C250" t="s">
        <v>6</v>
      </c>
      <c r="D250" t="s">
        <v>35</v>
      </c>
      <c r="E250" t="s">
        <v>4</v>
      </c>
      <c r="F250" s="4">
        <v>1302</v>
      </c>
      <c r="G250" s="5">
        <v>402</v>
      </c>
    </row>
    <row r="251" spans="3:7" x14ac:dyDescent="0.3">
      <c r="C251" t="s">
        <v>3</v>
      </c>
      <c r="D251" t="s">
        <v>37</v>
      </c>
      <c r="E251" t="s">
        <v>28</v>
      </c>
      <c r="F251" s="4">
        <v>7308</v>
      </c>
      <c r="G251" s="5">
        <v>327</v>
      </c>
    </row>
    <row r="252" spans="3:7" x14ac:dyDescent="0.3">
      <c r="C252" t="s">
        <v>40</v>
      </c>
      <c r="D252" t="s">
        <v>37</v>
      </c>
      <c r="E252" t="s">
        <v>27</v>
      </c>
      <c r="F252" s="4">
        <v>6132</v>
      </c>
      <c r="G252" s="5">
        <v>93</v>
      </c>
    </row>
    <row r="253" spans="3:7" x14ac:dyDescent="0.3">
      <c r="C253" t="s">
        <v>10</v>
      </c>
      <c r="D253" t="s">
        <v>35</v>
      </c>
      <c r="E253" t="s">
        <v>14</v>
      </c>
      <c r="F253" s="4">
        <v>3472</v>
      </c>
      <c r="G253" s="5">
        <v>96</v>
      </c>
    </row>
    <row r="254" spans="3:7" x14ac:dyDescent="0.3">
      <c r="C254" t="s">
        <v>8</v>
      </c>
      <c r="D254" t="s">
        <v>39</v>
      </c>
      <c r="E254" t="s">
        <v>18</v>
      </c>
      <c r="F254" s="4">
        <v>9660</v>
      </c>
      <c r="G254" s="5">
        <v>27</v>
      </c>
    </row>
    <row r="255" spans="3:7" x14ac:dyDescent="0.3">
      <c r="C255" t="s">
        <v>9</v>
      </c>
      <c r="D255" t="s">
        <v>38</v>
      </c>
      <c r="E255" t="s">
        <v>26</v>
      </c>
      <c r="F255" s="4">
        <v>2436</v>
      </c>
      <c r="G255" s="5">
        <v>99</v>
      </c>
    </row>
    <row r="256" spans="3:7" x14ac:dyDescent="0.3">
      <c r="C256" t="s">
        <v>9</v>
      </c>
      <c r="D256" t="s">
        <v>38</v>
      </c>
      <c r="E256" t="s">
        <v>33</v>
      </c>
      <c r="F256" s="4">
        <v>9506</v>
      </c>
      <c r="G256" s="5">
        <v>87</v>
      </c>
    </row>
    <row r="257" spans="3:7" x14ac:dyDescent="0.3">
      <c r="C257" t="s">
        <v>10</v>
      </c>
      <c r="D257" t="s">
        <v>37</v>
      </c>
      <c r="E257" t="s">
        <v>21</v>
      </c>
      <c r="F257" s="4">
        <v>245</v>
      </c>
      <c r="G257" s="5">
        <v>288</v>
      </c>
    </row>
    <row r="258" spans="3:7" x14ac:dyDescent="0.3">
      <c r="C258" t="s">
        <v>8</v>
      </c>
      <c r="D258" t="s">
        <v>35</v>
      </c>
      <c r="E258" t="s">
        <v>20</v>
      </c>
      <c r="F258" s="4">
        <v>2702</v>
      </c>
      <c r="G258" s="5">
        <v>363</v>
      </c>
    </row>
    <row r="259" spans="3:7" x14ac:dyDescent="0.3">
      <c r="C259" t="s">
        <v>10</v>
      </c>
      <c r="D259" t="s">
        <v>34</v>
      </c>
      <c r="E259" t="s">
        <v>17</v>
      </c>
      <c r="F259" s="4">
        <v>700</v>
      </c>
      <c r="G259" s="5">
        <v>87</v>
      </c>
    </row>
    <row r="260" spans="3:7" x14ac:dyDescent="0.3">
      <c r="C260" t="s">
        <v>6</v>
      </c>
      <c r="D260" t="s">
        <v>34</v>
      </c>
      <c r="E260" t="s">
        <v>17</v>
      </c>
      <c r="F260" s="4">
        <v>3759</v>
      </c>
      <c r="G260" s="5">
        <v>150</v>
      </c>
    </row>
    <row r="261" spans="3:7" x14ac:dyDescent="0.3">
      <c r="C261" t="s">
        <v>2</v>
      </c>
      <c r="D261" t="s">
        <v>35</v>
      </c>
      <c r="E261" t="s">
        <v>17</v>
      </c>
      <c r="F261" s="4">
        <v>1589</v>
      </c>
      <c r="G261" s="5">
        <v>303</v>
      </c>
    </row>
    <row r="262" spans="3:7" x14ac:dyDescent="0.3">
      <c r="C262" t="s">
        <v>7</v>
      </c>
      <c r="D262" t="s">
        <v>35</v>
      </c>
      <c r="E262" t="s">
        <v>28</v>
      </c>
      <c r="F262" s="4">
        <v>5194</v>
      </c>
      <c r="G262" s="5">
        <v>288</v>
      </c>
    </row>
    <row r="263" spans="3:7" x14ac:dyDescent="0.3">
      <c r="C263" t="s">
        <v>10</v>
      </c>
      <c r="D263" t="s">
        <v>36</v>
      </c>
      <c r="E263" t="s">
        <v>13</v>
      </c>
      <c r="F263" s="4">
        <v>945</v>
      </c>
      <c r="G263" s="5">
        <v>75</v>
      </c>
    </row>
    <row r="264" spans="3:7" x14ac:dyDescent="0.3">
      <c r="C264" t="s">
        <v>40</v>
      </c>
      <c r="D264" t="s">
        <v>38</v>
      </c>
      <c r="E264" t="s">
        <v>31</v>
      </c>
      <c r="F264" s="4">
        <v>1988</v>
      </c>
      <c r="G264" s="5">
        <v>39</v>
      </c>
    </row>
    <row r="265" spans="3:7" x14ac:dyDescent="0.3">
      <c r="C265" t="s">
        <v>6</v>
      </c>
      <c r="D265" t="s">
        <v>34</v>
      </c>
      <c r="E265" t="s">
        <v>32</v>
      </c>
      <c r="F265" s="4">
        <v>6734</v>
      </c>
      <c r="G265" s="5">
        <v>123</v>
      </c>
    </row>
    <row r="266" spans="3:7" x14ac:dyDescent="0.3">
      <c r="C266" t="s">
        <v>40</v>
      </c>
      <c r="D266" t="s">
        <v>36</v>
      </c>
      <c r="E266" t="s">
        <v>4</v>
      </c>
      <c r="F266" s="4">
        <v>217</v>
      </c>
      <c r="G266" s="5">
        <v>36</v>
      </c>
    </row>
    <row r="267" spans="3:7" x14ac:dyDescent="0.3">
      <c r="C267" t="s">
        <v>5</v>
      </c>
      <c r="D267" t="s">
        <v>34</v>
      </c>
      <c r="E267" t="s">
        <v>22</v>
      </c>
      <c r="F267" s="4">
        <v>6279</v>
      </c>
      <c r="G267" s="5">
        <v>237</v>
      </c>
    </row>
    <row r="268" spans="3:7" x14ac:dyDescent="0.3">
      <c r="C268" t="s">
        <v>40</v>
      </c>
      <c r="D268" t="s">
        <v>36</v>
      </c>
      <c r="E268" t="s">
        <v>13</v>
      </c>
      <c r="F268" s="4">
        <v>4424</v>
      </c>
      <c r="G268" s="5">
        <v>201</v>
      </c>
    </row>
    <row r="269" spans="3:7" x14ac:dyDescent="0.3">
      <c r="C269" t="s">
        <v>2</v>
      </c>
      <c r="D269" t="s">
        <v>36</v>
      </c>
      <c r="E269" t="s">
        <v>17</v>
      </c>
      <c r="F269" s="4">
        <v>189</v>
      </c>
      <c r="G269" s="5">
        <v>48</v>
      </c>
    </row>
    <row r="270" spans="3:7" x14ac:dyDescent="0.3">
      <c r="C270" t="s">
        <v>5</v>
      </c>
      <c r="D270" t="s">
        <v>35</v>
      </c>
      <c r="E270" t="s">
        <v>22</v>
      </c>
      <c r="F270" s="4">
        <v>490</v>
      </c>
      <c r="G270" s="5">
        <v>84</v>
      </c>
    </row>
    <row r="271" spans="3:7" x14ac:dyDescent="0.3">
      <c r="C271" t="s">
        <v>8</v>
      </c>
      <c r="D271" t="s">
        <v>37</v>
      </c>
      <c r="E271" t="s">
        <v>21</v>
      </c>
      <c r="F271" s="4">
        <v>434</v>
      </c>
      <c r="G271" s="5">
        <v>87</v>
      </c>
    </row>
    <row r="272" spans="3:7" x14ac:dyDescent="0.3">
      <c r="C272" t="s">
        <v>7</v>
      </c>
      <c r="D272" t="s">
        <v>38</v>
      </c>
      <c r="E272" t="s">
        <v>30</v>
      </c>
      <c r="F272" s="4">
        <v>10129</v>
      </c>
      <c r="G272" s="5">
        <v>312</v>
      </c>
    </row>
    <row r="273" spans="3:7" x14ac:dyDescent="0.3">
      <c r="C273" t="s">
        <v>3</v>
      </c>
      <c r="D273" t="s">
        <v>39</v>
      </c>
      <c r="E273" t="s">
        <v>28</v>
      </c>
      <c r="F273" s="4">
        <v>1652</v>
      </c>
      <c r="G273" s="5">
        <v>102</v>
      </c>
    </row>
    <row r="274" spans="3:7" x14ac:dyDescent="0.3">
      <c r="C274" t="s">
        <v>8</v>
      </c>
      <c r="D274" t="s">
        <v>38</v>
      </c>
      <c r="E274" t="s">
        <v>21</v>
      </c>
      <c r="F274" s="4">
        <v>6433</v>
      </c>
      <c r="G274" s="5">
        <v>78</v>
      </c>
    </row>
    <row r="275" spans="3:7" x14ac:dyDescent="0.3">
      <c r="C275" t="s">
        <v>3</v>
      </c>
      <c r="D275" t="s">
        <v>34</v>
      </c>
      <c r="E275" t="s">
        <v>23</v>
      </c>
      <c r="F275" s="4">
        <v>2212</v>
      </c>
      <c r="G275" s="5">
        <v>117</v>
      </c>
    </row>
    <row r="276" spans="3:7" x14ac:dyDescent="0.3">
      <c r="C276" t="s">
        <v>41</v>
      </c>
      <c r="D276" t="s">
        <v>35</v>
      </c>
      <c r="E276" t="s">
        <v>19</v>
      </c>
      <c r="F276" s="4">
        <v>609</v>
      </c>
      <c r="G276" s="5">
        <v>99</v>
      </c>
    </row>
    <row r="277" spans="3:7" x14ac:dyDescent="0.3">
      <c r="C277" t="s">
        <v>40</v>
      </c>
      <c r="D277" t="s">
        <v>35</v>
      </c>
      <c r="E277" t="s">
        <v>24</v>
      </c>
      <c r="F277" s="4">
        <v>1638</v>
      </c>
      <c r="G277" s="5">
        <v>48</v>
      </c>
    </row>
    <row r="278" spans="3:7" x14ac:dyDescent="0.3">
      <c r="C278" t="s">
        <v>7</v>
      </c>
      <c r="D278" t="s">
        <v>34</v>
      </c>
      <c r="E278" t="s">
        <v>15</v>
      </c>
      <c r="F278" s="4">
        <v>3829</v>
      </c>
      <c r="G278" s="5">
        <v>24</v>
      </c>
    </row>
    <row r="279" spans="3:7" x14ac:dyDescent="0.3">
      <c r="C279" t="s">
        <v>40</v>
      </c>
      <c r="D279" t="s">
        <v>39</v>
      </c>
      <c r="E279" t="s">
        <v>15</v>
      </c>
      <c r="F279" s="4">
        <v>5775</v>
      </c>
      <c r="G279" s="5">
        <v>42</v>
      </c>
    </row>
    <row r="280" spans="3:7" x14ac:dyDescent="0.3">
      <c r="C280" t="s">
        <v>6</v>
      </c>
      <c r="D280" t="s">
        <v>35</v>
      </c>
      <c r="E280" t="s">
        <v>20</v>
      </c>
      <c r="F280" s="4">
        <v>1071</v>
      </c>
      <c r="G280" s="5">
        <v>270</v>
      </c>
    </row>
    <row r="281" spans="3:7" x14ac:dyDescent="0.3">
      <c r="C281" t="s">
        <v>8</v>
      </c>
      <c r="D281" t="s">
        <v>36</v>
      </c>
      <c r="E281" t="s">
        <v>23</v>
      </c>
      <c r="F281" s="4">
        <v>5019</v>
      </c>
      <c r="G281" s="5">
        <v>150</v>
      </c>
    </row>
    <row r="282" spans="3:7" x14ac:dyDescent="0.3">
      <c r="C282" t="s">
        <v>2</v>
      </c>
      <c r="D282" t="s">
        <v>37</v>
      </c>
      <c r="E282" t="s">
        <v>15</v>
      </c>
      <c r="F282" s="4">
        <v>2863</v>
      </c>
      <c r="G282" s="5">
        <v>42</v>
      </c>
    </row>
    <row r="283" spans="3:7" x14ac:dyDescent="0.3">
      <c r="C283" t="s">
        <v>40</v>
      </c>
      <c r="D283" t="s">
        <v>35</v>
      </c>
      <c r="E283" t="s">
        <v>29</v>
      </c>
      <c r="F283" s="4">
        <v>1617</v>
      </c>
      <c r="G283" s="5">
        <v>126</v>
      </c>
    </row>
    <row r="284" spans="3:7" x14ac:dyDescent="0.3">
      <c r="C284" t="s">
        <v>6</v>
      </c>
      <c r="D284" t="s">
        <v>37</v>
      </c>
      <c r="E284" t="s">
        <v>26</v>
      </c>
      <c r="F284" s="4">
        <v>6818</v>
      </c>
      <c r="G284" s="5">
        <v>6</v>
      </c>
    </row>
    <row r="285" spans="3:7" x14ac:dyDescent="0.3">
      <c r="C285" t="s">
        <v>3</v>
      </c>
      <c r="D285" t="s">
        <v>35</v>
      </c>
      <c r="E285" t="s">
        <v>15</v>
      </c>
      <c r="F285" s="4">
        <v>6657</v>
      </c>
      <c r="G285" s="5">
        <v>276</v>
      </c>
    </row>
    <row r="286" spans="3:7" x14ac:dyDescent="0.3">
      <c r="C286" t="s">
        <v>3</v>
      </c>
      <c r="D286" t="s">
        <v>34</v>
      </c>
      <c r="E286" t="s">
        <v>17</v>
      </c>
      <c r="F286" s="4">
        <v>2919</v>
      </c>
      <c r="G286" s="5">
        <v>93</v>
      </c>
    </row>
    <row r="287" spans="3:7" x14ac:dyDescent="0.3">
      <c r="C287" t="s">
        <v>2</v>
      </c>
      <c r="D287" t="s">
        <v>36</v>
      </c>
      <c r="E287" t="s">
        <v>31</v>
      </c>
      <c r="F287" s="4">
        <v>3094</v>
      </c>
      <c r="G287" s="5">
        <v>246</v>
      </c>
    </row>
    <row r="288" spans="3:7" x14ac:dyDescent="0.3">
      <c r="C288" t="s">
        <v>6</v>
      </c>
      <c r="D288" t="s">
        <v>39</v>
      </c>
      <c r="E288" t="s">
        <v>24</v>
      </c>
      <c r="F288" s="4">
        <v>2989</v>
      </c>
      <c r="G288" s="5">
        <v>3</v>
      </c>
    </row>
    <row r="289" spans="3:7" x14ac:dyDescent="0.3">
      <c r="C289" t="s">
        <v>8</v>
      </c>
      <c r="D289" t="s">
        <v>38</v>
      </c>
      <c r="E289" t="s">
        <v>27</v>
      </c>
      <c r="F289" s="4">
        <v>2268</v>
      </c>
      <c r="G289" s="5">
        <v>63</v>
      </c>
    </row>
    <row r="290" spans="3:7" x14ac:dyDescent="0.3">
      <c r="C290" t="s">
        <v>5</v>
      </c>
      <c r="D290" t="s">
        <v>35</v>
      </c>
      <c r="E290" t="s">
        <v>31</v>
      </c>
      <c r="F290" s="4">
        <v>4753</v>
      </c>
      <c r="G290" s="5">
        <v>246</v>
      </c>
    </row>
    <row r="291" spans="3:7" x14ac:dyDescent="0.3">
      <c r="C291" t="s">
        <v>2</v>
      </c>
      <c r="D291" t="s">
        <v>34</v>
      </c>
      <c r="E291" t="s">
        <v>19</v>
      </c>
      <c r="F291" s="4">
        <v>7511</v>
      </c>
      <c r="G291" s="5">
        <v>120</v>
      </c>
    </row>
    <row r="292" spans="3:7" x14ac:dyDescent="0.3">
      <c r="C292" t="s">
        <v>2</v>
      </c>
      <c r="D292" t="s">
        <v>38</v>
      </c>
      <c r="E292" t="s">
        <v>31</v>
      </c>
      <c r="F292" s="4">
        <v>4326</v>
      </c>
      <c r="G292" s="5">
        <v>348</v>
      </c>
    </row>
    <row r="293" spans="3:7" x14ac:dyDescent="0.3">
      <c r="C293" t="s">
        <v>41</v>
      </c>
      <c r="D293" t="s">
        <v>34</v>
      </c>
      <c r="E293" t="s">
        <v>23</v>
      </c>
      <c r="F293" s="4">
        <v>4935</v>
      </c>
      <c r="G293" s="5">
        <v>126</v>
      </c>
    </row>
    <row r="294" spans="3:7" x14ac:dyDescent="0.3">
      <c r="C294" t="s">
        <v>6</v>
      </c>
      <c r="D294" t="s">
        <v>35</v>
      </c>
      <c r="E294" t="s">
        <v>30</v>
      </c>
      <c r="F294" s="4">
        <v>4781</v>
      </c>
      <c r="G294" s="5">
        <v>123</v>
      </c>
    </row>
    <row r="295" spans="3:7" x14ac:dyDescent="0.3">
      <c r="C295" t="s">
        <v>5</v>
      </c>
      <c r="D295" t="s">
        <v>38</v>
      </c>
      <c r="E295" t="s">
        <v>25</v>
      </c>
      <c r="F295" s="4">
        <v>7483</v>
      </c>
      <c r="G295" s="5">
        <v>45</v>
      </c>
    </row>
    <row r="296" spans="3:7" x14ac:dyDescent="0.3">
      <c r="C296" t="s">
        <v>10</v>
      </c>
      <c r="D296" t="s">
        <v>38</v>
      </c>
      <c r="E296" t="s">
        <v>4</v>
      </c>
      <c r="F296" s="4">
        <v>6860</v>
      </c>
      <c r="G296" s="5">
        <v>126</v>
      </c>
    </row>
    <row r="297" spans="3:7" x14ac:dyDescent="0.3">
      <c r="C297" t="s">
        <v>40</v>
      </c>
      <c r="D297" t="s">
        <v>37</v>
      </c>
      <c r="E297" t="s">
        <v>29</v>
      </c>
      <c r="F297" s="4">
        <v>9002</v>
      </c>
      <c r="G297" s="5">
        <v>72</v>
      </c>
    </row>
    <row r="298" spans="3:7" x14ac:dyDescent="0.3">
      <c r="C298" t="s">
        <v>6</v>
      </c>
      <c r="D298" t="s">
        <v>36</v>
      </c>
      <c r="E298" t="s">
        <v>29</v>
      </c>
      <c r="F298" s="4">
        <v>1400</v>
      </c>
      <c r="G298" s="5">
        <v>135</v>
      </c>
    </row>
    <row r="299" spans="3:7" x14ac:dyDescent="0.3">
      <c r="C299" t="s">
        <v>10</v>
      </c>
      <c r="D299" t="s">
        <v>34</v>
      </c>
      <c r="E299" t="s">
        <v>22</v>
      </c>
      <c r="F299" s="4">
        <v>4053</v>
      </c>
      <c r="G299" s="5">
        <v>24</v>
      </c>
    </row>
    <row r="300" spans="3:7" x14ac:dyDescent="0.3">
      <c r="C300" t="s">
        <v>7</v>
      </c>
      <c r="D300" t="s">
        <v>36</v>
      </c>
      <c r="E300" t="s">
        <v>31</v>
      </c>
      <c r="F300" s="4">
        <v>2149</v>
      </c>
      <c r="G300" s="5">
        <v>117</v>
      </c>
    </row>
    <row r="301" spans="3:7" x14ac:dyDescent="0.3">
      <c r="C301" t="s">
        <v>3</v>
      </c>
      <c r="D301" t="s">
        <v>39</v>
      </c>
      <c r="E301" t="s">
        <v>29</v>
      </c>
      <c r="F301" s="4">
        <v>3640</v>
      </c>
      <c r="G301" s="5">
        <v>51</v>
      </c>
    </row>
    <row r="302" spans="3:7" x14ac:dyDescent="0.3">
      <c r="C302" t="s">
        <v>2</v>
      </c>
      <c r="D302" t="s">
        <v>39</v>
      </c>
      <c r="E302" t="s">
        <v>23</v>
      </c>
      <c r="F302" s="4">
        <v>630</v>
      </c>
      <c r="G302" s="5">
        <v>36</v>
      </c>
    </row>
    <row r="303" spans="3:7" x14ac:dyDescent="0.3">
      <c r="C303" t="s">
        <v>9</v>
      </c>
      <c r="D303" t="s">
        <v>35</v>
      </c>
      <c r="E303" t="s">
        <v>27</v>
      </c>
      <c r="F303" s="4">
        <v>2429</v>
      </c>
      <c r="G303" s="5">
        <v>144</v>
      </c>
    </row>
    <row r="304" spans="3:7" x14ac:dyDescent="0.3">
      <c r="C304" t="s">
        <v>9</v>
      </c>
      <c r="D304" t="s">
        <v>36</v>
      </c>
      <c r="E304" t="s">
        <v>25</v>
      </c>
      <c r="F304" s="4">
        <v>2142</v>
      </c>
      <c r="G304" s="5">
        <v>114</v>
      </c>
    </row>
    <row r="305" spans="3:7" x14ac:dyDescent="0.3">
      <c r="C305" t="s">
        <v>7</v>
      </c>
      <c r="D305" t="s">
        <v>37</v>
      </c>
      <c r="E305" t="s">
        <v>30</v>
      </c>
      <c r="F305" s="4">
        <v>6454</v>
      </c>
      <c r="G305" s="5">
        <v>54</v>
      </c>
    </row>
    <row r="306" spans="3:7" x14ac:dyDescent="0.3">
      <c r="C306" t="s">
        <v>7</v>
      </c>
      <c r="D306" t="s">
        <v>37</v>
      </c>
      <c r="E306" t="s">
        <v>16</v>
      </c>
      <c r="F306" s="4">
        <v>4487</v>
      </c>
      <c r="G306" s="5">
        <v>333</v>
      </c>
    </row>
    <row r="307" spans="3:7" x14ac:dyDescent="0.3">
      <c r="C307" t="s">
        <v>3</v>
      </c>
      <c r="D307" t="s">
        <v>37</v>
      </c>
      <c r="E307" t="s">
        <v>4</v>
      </c>
      <c r="F307" s="4">
        <v>938</v>
      </c>
      <c r="G307" s="5">
        <v>366</v>
      </c>
    </row>
    <row r="308" spans="3:7" x14ac:dyDescent="0.3">
      <c r="C308" t="s">
        <v>3</v>
      </c>
      <c r="D308" t="s">
        <v>38</v>
      </c>
      <c r="E308" t="s">
        <v>26</v>
      </c>
      <c r="F308" s="4">
        <v>8841</v>
      </c>
      <c r="G308" s="5">
        <v>303</v>
      </c>
    </row>
    <row r="309" spans="3:7" x14ac:dyDescent="0.3">
      <c r="C309" t="s">
        <v>2</v>
      </c>
      <c r="D309" t="s">
        <v>39</v>
      </c>
      <c r="E309" t="s">
        <v>33</v>
      </c>
      <c r="F309" s="4">
        <v>4018</v>
      </c>
      <c r="G309" s="5">
        <v>126</v>
      </c>
    </row>
    <row r="310" spans="3:7" x14ac:dyDescent="0.3">
      <c r="C310" t="s">
        <v>41</v>
      </c>
      <c r="D310" t="s">
        <v>37</v>
      </c>
      <c r="E310" t="s">
        <v>15</v>
      </c>
      <c r="F310" s="4">
        <v>714</v>
      </c>
      <c r="G310" s="5">
        <v>231</v>
      </c>
    </row>
    <row r="311" spans="3:7" x14ac:dyDescent="0.3">
      <c r="C311" t="s">
        <v>9</v>
      </c>
      <c r="D311" t="s">
        <v>38</v>
      </c>
      <c r="E311" t="s">
        <v>25</v>
      </c>
      <c r="F311" s="4">
        <v>3850</v>
      </c>
      <c r="G311" s="5">
        <v>102</v>
      </c>
    </row>
    <row r="312" spans="3:7" x14ac:dyDescent="0.3">
      <c r="F312" s="4"/>
      <c r="G312" s="5"/>
    </row>
    <row r="313" spans="3:7" x14ac:dyDescent="0.3">
      <c r="F313" s="4"/>
      <c r="G313" s="5"/>
    </row>
    <row r="314" spans="3:7" x14ac:dyDescent="0.3">
      <c r="F314" s="4"/>
      <c r="G314" s="5"/>
    </row>
    <row r="315" spans="3:7" x14ac:dyDescent="0.3">
      <c r="F315" s="4"/>
      <c r="G315" s="5"/>
    </row>
    <row r="316" spans="3:7" x14ac:dyDescent="0.3">
      <c r="F316" s="4"/>
      <c r="G316" s="5"/>
    </row>
    <row r="317" spans="3:7" x14ac:dyDescent="0.3">
      <c r="F317" s="4"/>
      <c r="G317" s="5"/>
    </row>
    <row r="318" spans="3:7" x14ac:dyDescent="0.3">
      <c r="F318" s="4"/>
      <c r="G318" s="5"/>
    </row>
    <row r="319" spans="3:7" x14ac:dyDescent="0.3">
      <c r="F319" s="4"/>
      <c r="G319" s="5"/>
    </row>
    <row r="320" spans="3:7" x14ac:dyDescent="0.3">
      <c r="F320" s="4"/>
      <c r="G320" s="5"/>
    </row>
    <row r="321" spans="6:7" x14ac:dyDescent="0.3">
      <c r="F321" s="4"/>
      <c r="G321" s="5"/>
    </row>
    <row r="322" spans="6:7" x14ac:dyDescent="0.3">
      <c r="F322" s="4"/>
      <c r="G322" s="5"/>
    </row>
    <row r="323" spans="6:7" x14ac:dyDescent="0.3">
      <c r="F323" s="4"/>
      <c r="G323" s="5"/>
    </row>
    <row r="324" spans="6:7" x14ac:dyDescent="0.3">
      <c r="F324" s="4"/>
      <c r="G324" s="5"/>
    </row>
    <row r="325" spans="6:7" x14ac:dyDescent="0.3">
      <c r="F325" s="4"/>
      <c r="G325" s="5"/>
    </row>
    <row r="326" spans="6:7" x14ac:dyDescent="0.3">
      <c r="F326" s="4"/>
      <c r="G326" s="5"/>
    </row>
    <row r="327" spans="6:7" x14ac:dyDescent="0.3">
      <c r="F327" s="4"/>
      <c r="G327" s="5"/>
    </row>
    <row r="328" spans="6:7" x14ac:dyDescent="0.3">
      <c r="F328" s="4"/>
      <c r="G328" s="5"/>
    </row>
    <row r="329" spans="6:7" x14ac:dyDescent="0.3">
      <c r="F329" s="4"/>
      <c r="G329" s="5"/>
    </row>
    <row r="330" spans="6:7" x14ac:dyDescent="0.3">
      <c r="F330" s="4"/>
      <c r="G330" s="5"/>
    </row>
    <row r="331" spans="6:7" x14ac:dyDescent="0.3">
      <c r="F331" s="4"/>
      <c r="G331" s="5"/>
    </row>
    <row r="332" spans="6:7" x14ac:dyDescent="0.3">
      <c r="F332" s="4"/>
      <c r="G332" s="5"/>
    </row>
    <row r="333" spans="6:7" x14ac:dyDescent="0.3">
      <c r="F333" s="4"/>
      <c r="G333" s="5"/>
    </row>
    <row r="334" spans="6:7" x14ac:dyDescent="0.3">
      <c r="F334" s="4"/>
      <c r="G334" s="5"/>
    </row>
    <row r="335" spans="6:7" x14ac:dyDescent="0.3">
      <c r="F335" s="4"/>
      <c r="G335" s="5"/>
    </row>
    <row r="336" spans="6:7" x14ac:dyDescent="0.3">
      <c r="F336" s="4"/>
      <c r="G336" s="5"/>
    </row>
    <row r="337" spans="6:7" x14ac:dyDescent="0.3">
      <c r="F337" s="4"/>
      <c r="G337" s="5"/>
    </row>
    <row r="338" spans="6:7" x14ac:dyDescent="0.3">
      <c r="F338" s="4"/>
      <c r="G338" s="5"/>
    </row>
    <row r="339" spans="6:7" x14ac:dyDescent="0.3">
      <c r="F339" s="4"/>
      <c r="G339" s="5"/>
    </row>
    <row r="340" spans="6:7" x14ac:dyDescent="0.3">
      <c r="F340" s="4"/>
      <c r="G340" s="5"/>
    </row>
    <row r="341" spans="6:7" x14ac:dyDescent="0.3">
      <c r="F341" s="4"/>
      <c r="G341" s="5"/>
    </row>
    <row r="342" spans="6:7" x14ac:dyDescent="0.3">
      <c r="F342" s="4"/>
      <c r="G342" s="5"/>
    </row>
    <row r="343" spans="6:7" x14ac:dyDescent="0.3">
      <c r="F343" s="4"/>
      <c r="G343" s="5"/>
    </row>
    <row r="344" spans="6:7" x14ac:dyDescent="0.3">
      <c r="F344" s="4"/>
      <c r="G344" s="5"/>
    </row>
    <row r="345" spans="6:7" x14ac:dyDescent="0.3">
      <c r="F345" s="4"/>
      <c r="G345" s="5"/>
    </row>
    <row r="346" spans="6:7" x14ac:dyDescent="0.3">
      <c r="F346" s="4"/>
      <c r="G346" s="5"/>
    </row>
    <row r="347" spans="6:7" x14ac:dyDescent="0.3">
      <c r="F347" s="4"/>
      <c r="G347" s="5"/>
    </row>
    <row r="348" spans="6:7" x14ac:dyDescent="0.3">
      <c r="F348" s="4"/>
      <c r="G348" s="5"/>
    </row>
    <row r="349" spans="6:7" x14ac:dyDescent="0.3">
      <c r="F349" s="4"/>
      <c r="G349" s="5"/>
    </row>
    <row r="350" spans="6:7" x14ac:dyDescent="0.3">
      <c r="F350" s="4"/>
      <c r="G350" s="5"/>
    </row>
    <row r="351" spans="6:7" x14ac:dyDescent="0.3">
      <c r="F351" s="4"/>
      <c r="G351" s="5"/>
    </row>
    <row r="352" spans="6:7" x14ac:dyDescent="0.3">
      <c r="F352" s="4"/>
      <c r="G352" s="5"/>
    </row>
    <row r="353" spans="6:7" x14ac:dyDescent="0.3">
      <c r="F353" s="4"/>
      <c r="G353" s="5"/>
    </row>
    <row r="354" spans="6:7" x14ac:dyDescent="0.3">
      <c r="F354" s="4"/>
      <c r="G354" s="5"/>
    </row>
    <row r="355" spans="6:7" x14ac:dyDescent="0.3">
      <c r="F355" s="4"/>
      <c r="G355" s="5"/>
    </row>
    <row r="356" spans="6:7" x14ac:dyDescent="0.3">
      <c r="F356" s="4"/>
      <c r="G356" s="5"/>
    </row>
    <row r="357" spans="6:7" x14ac:dyDescent="0.3">
      <c r="F357" s="4"/>
      <c r="G357" s="5"/>
    </row>
    <row r="358" spans="6:7" x14ac:dyDescent="0.3">
      <c r="F358" s="4"/>
      <c r="G358" s="5"/>
    </row>
    <row r="359" spans="6:7" x14ac:dyDescent="0.3">
      <c r="F359" s="4"/>
      <c r="G359" s="5"/>
    </row>
    <row r="360" spans="6:7" x14ac:dyDescent="0.3">
      <c r="F360" s="4"/>
      <c r="G360" s="5"/>
    </row>
    <row r="361" spans="6:7" x14ac:dyDescent="0.3">
      <c r="F361" s="4"/>
      <c r="G361" s="5"/>
    </row>
    <row r="362" spans="6:7" x14ac:dyDescent="0.3">
      <c r="F362" s="4"/>
      <c r="G362" s="5"/>
    </row>
    <row r="363" spans="6:7" x14ac:dyDescent="0.3">
      <c r="F363" s="4"/>
      <c r="G363" s="5"/>
    </row>
    <row r="364" spans="6:7" x14ac:dyDescent="0.3">
      <c r="F364" s="4"/>
      <c r="G364" s="5"/>
    </row>
    <row r="365" spans="6:7" x14ac:dyDescent="0.3">
      <c r="F365" s="4"/>
      <c r="G365" s="5"/>
    </row>
    <row r="366" spans="6:7" x14ac:dyDescent="0.3">
      <c r="F366" s="4"/>
      <c r="G366" s="5"/>
    </row>
    <row r="367" spans="6:7" x14ac:dyDescent="0.3">
      <c r="F367" s="4"/>
      <c r="G367" s="5"/>
    </row>
    <row r="368" spans="6:7" x14ac:dyDescent="0.3">
      <c r="F368" s="4"/>
      <c r="G368" s="5"/>
    </row>
    <row r="369" spans="6:7" x14ac:dyDescent="0.3">
      <c r="F369" s="4"/>
      <c r="G369" s="5"/>
    </row>
    <row r="370" spans="6:7" x14ac:dyDescent="0.3">
      <c r="F370" s="4"/>
      <c r="G370" s="5"/>
    </row>
    <row r="371" spans="6:7" x14ac:dyDescent="0.3">
      <c r="F371" s="4"/>
      <c r="G371" s="5"/>
    </row>
    <row r="372" spans="6:7" x14ac:dyDescent="0.3">
      <c r="F372" s="4"/>
      <c r="G372" s="5"/>
    </row>
    <row r="373" spans="6:7" x14ac:dyDescent="0.3">
      <c r="F373" s="4"/>
      <c r="G373" s="5"/>
    </row>
    <row r="374" spans="6:7" x14ac:dyDescent="0.3">
      <c r="F374" s="4"/>
      <c r="G374" s="5"/>
    </row>
    <row r="375" spans="6:7" x14ac:dyDescent="0.3">
      <c r="F375" s="4"/>
      <c r="G375" s="5"/>
    </row>
    <row r="376" spans="6:7" x14ac:dyDescent="0.3">
      <c r="F376" s="4"/>
      <c r="G376" s="5"/>
    </row>
    <row r="377" spans="6:7" x14ac:dyDescent="0.3">
      <c r="F377" s="4"/>
      <c r="G377" s="5"/>
    </row>
    <row r="378" spans="6:7" x14ac:dyDescent="0.3">
      <c r="F378" s="4"/>
      <c r="G378" s="5"/>
    </row>
    <row r="379" spans="6:7" x14ac:dyDescent="0.3">
      <c r="F379" s="4"/>
      <c r="G379" s="5"/>
    </row>
    <row r="380" spans="6:7" x14ac:dyDescent="0.3">
      <c r="F380" s="4"/>
      <c r="G380" s="5"/>
    </row>
    <row r="381" spans="6:7" x14ac:dyDescent="0.3">
      <c r="F381" s="4"/>
      <c r="G381" s="5"/>
    </row>
    <row r="382" spans="6:7" x14ac:dyDescent="0.3">
      <c r="F382" s="4"/>
      <c r="G382" s="5"/>
    </row>
    <row r="383" spans="6:7" x14ac:dyDescent="0.3">
      <c r="F383" s="4"/>
      <c r="G383" s="5"/>
    </row>
    <row r="384" spans="6:7" x14ac:dyDescent="0.3">
      <c r="F384" s="4"/>
      <c r="G384" s="5"/>
    </row>
    <row r="385" spans="6:7" x14ac:dyDescent="0.3">
      <c r="F385" s="4"/>
      <c r="G385" s="5"/>
    </row>
    <row r="386" spans="6:7" x14ac:dyDescent="0.3">
      <c r="F386" s="4"/>
      <c r="G386" s="5"/>
    </row>
    <row r="387" spans="6:7" x14ac:dyDescent="0.3">
      <c r="F387" s="4"/>
      <c r="G387" s="5"/>
    </row>
    <row r="388" spans="6:7" x14ac:dyDescent="0.3">
      <c r="F388" s="4"/>
      <c r="G388" s="5"/>
    </row>
    <row r="389" spans="6:7" x14ac:dyDescent="0.3">
      <c r="F389" s="4"/>
      <c r="G389" s="5"/>
    </row>
    <row r="390" spans="6:7" x14ac:dyDescent="0.3">
      <c r="F390" s="4"/>
      <c r="G390" s="5"/>
    </row>
    <row r="391" spans="6:7" x14ac:dyDescent="0.3">
      <c r="F391" s="4"/>
      <c r="G391" s="5"/>
    </row>
    <row r="392" spans="6:7" x14ac:dyDescent="0.3">
      <c r="F392" s="4"/>
      <c r="G392" s="5"/>
    </row>
    <row r="393" spans="6:7" x14ac:dyDescent="0.3">
      <c r="F393" s="4"/>
      <c r="G393" s="5"/>
    </row>
    <row r="394" spans="6:7" x14ac:dyDescent="0.3">
      <c r="F394" s="4"/>
      <c r="G394" s="5"/>
    </row>
    <row r="395" spans="6:7" x14ac:dyDescent="0.3">
      <c r="F395" s="4"/>
      <c r="G395" s="5"/>
    </row>
    <row r="396" spans="6:7" x14ac:dyDescent="0.3">
      <c r="F396" s="4"/>
      <c r="G396" s="5"/>
    </row>
    <row r="397" spans="6:7" x14ac:dyDescent="0.3">
      <c r="F397" s="4"/>
      <c r="G397" s="5"/>
    </row>
    <row r="398" spans="6:7" x14ac:dyDescent="0.3">
      <c r="F398" s="4"/>
      <c r="G398" s="5"/>
    </row>
    <row r="399" spans="6:7" x14ac:dyDescent="0.3">
      <c r="F399" s="4"/>
      <c r="G399" s="5"/>
    </row>
    <row r="400" spans="6:7" x14ac:dyDescent="0.3">
      <c r="F400" s="4"/>
      <c r="G400" s="5"/>
    </row>
    <row r="401" spans="6:7" x14ac:dyDescent="0.3">
      <c r="F401" s="4"/>
      <c r="G401" s="5"/>
    </row>
    <row r="402" spans="6:7" x14ac:dyDescent="0.3">
      <c r="F402" s="4"/>
      <c r="G402" s="5"/>
    </row>
    <row r="403" spans="6:7" x14ac:dyDescent="0.3">
      <c r="F403" s="4"/>
      <c r="G403" s="5"/>
    </row>
    <row r="404" spans="6:7" x14ac:dyDescent="0.3">
      <c r="F404" s="4"/>
      <c r="G404" s="5"/>
    </row>
    <row r="405" spans="6:7" x14ac:dyDescent="0.3">
      <c r="F405" s="4"/>
      <c r="G405" s="5"/>
    </row>
    <row r="406" spans="6:7" x14ac:dyDescent="0.3">
      <c r="F406" s="4"/>
      <c r="G406" s="5"/>
    </row>
    <row r="407" spans="6:7" x14ac:dyDescent="0.3">
      <c r="F407" s="4"/>
      <c r="G407" s="5"/>
    </row>
    <row r="408" spans="6:7" x14ac:dyDescent="0.3">
      <c r="F408" s="4"/>
      <c r="G408" s="5"/>
    </row>
    <row r="409" spans="6:7" x14ac:dyDescent="0.3">
      <c r="F409" s="4"/>
      <c r="G409" s="5"/>
    </row>
    <row r="410" spans="6:7" x14ac:dyDescent="0.3">
      <c r="F410" s="4"/>
      <c r="G410" s="5"/>
    </row>
    <row r="411" spans="6:7" x14ac:dyDescent="0.3">
      <c r="F411" s="4"/>
      <c r="G411" s="5"/>
    </row>
    <row r="412" spans="6:7" x14ac:dyDescent="0.3">
      <c r="F412" s="4"/>
      <c r="G412" s="5"/>
    </row>
    <row r="413" spans="6:7" x14ac:dyDescent="0.3">
      <c r="F413" s="4"/>
      <c r="G413" s="5"/>
    </row>
    <row r="414" spans="6:7" x14ac:dyDescent="0.3">
      <c r="F414" s="4"/>
      <c r="G414" s="5"/>
    </row>
    <row r="415" spans="6:7" x14ac:dyDescent="0.3">
      <c r="F415" s="4"/>
      <c r="G415" s="5"/>
    </row>
    <row r="416" spans="6:7" x14ac:dyDescent="0.3">
      <c r="F416" s="4"/>
      <c r="G416" s="5"/>
    </row>
    <row r="417" spans="6:7" x14ac:dyDescent="0.3">
      <c r="F417" s="4"/>
      <c r="G417" s="5"/>
    </row>
    <row r="418" spans="6:7" x14ac:dyDescent="0.3">
      <c r="F418" s="4"/>
      <c r="G418" s="5"/>
    </row>
    <row r="419" spans="6:7" x14ac:dyDescent="0.3">
      <c r="F419" s="4"/>
      <c r="G419" s="5"/>
    </row>
    <row r="420" spans="6:7" x14ac:dyDescent="0.3">
      <c r="F420" s="4"/>
      <c r="G420" s="5"/>
    </row>
    <row r="421" spans="6:7" x14ac:dyDescent="0.3">
      <c r="F421" s="4"/>
      <c r="G421" s="5"/>
    </row>
    <row r="422" spans="6:7" x14ac:dyDescent="0.3">
      <c r="F422" s="4"/>
      <c r="G422" s="5"/>
    </row>
    <row r="423" spans="6:7" x14ac:dyDescent="0.3">
      <c r="F423" s="4"/>
      <c r="G423" s="5"/>
    </row>
    <row r="424" spans="6:7" x14ac:dyDescent="0.3">
      <c r="F424" s="4"/>
      <c r="G424" s="5"/>
    </row>
    <row r="425" spans="6:7" x14ac:dyDescent="0.3">
      <c r="F425" s="4"/>
      <c r="G425" s="5"/>
    </row>
    <row r="426" spans="6:7" x14ac:dyDescent="0.3">
      <c r="F426" s="4"/>
      <c r="G426" s="5"/>
    </row>
    <row r="427" spans="6:7" x14ac:dyDescent="0.3">
      <c r="F427" s="4"/>
      <c r="G427" s="5"/>
    </row>
    <row r="428" spans="6:7" x14ac:dyDescent="0.3">
      <c r="F428" s="4"/>
      <c r="G428" s="5"/>
    </row>
    <row r="429" spans="6:7" x14ac:dyDescent="0.3">
      <c r="F429" s="4"/>
      <c r="G429" s="5"/>
    </row>
    <row r="430" spans="6:7" x14ac:dyDescent="0.3">
      <c r="F430" s="4"/>
      <c r="G430" s="5"/>
    </row>
    <row r="431" spans="6:7" x14ac:dyDescent="0.3">
      <c r="F431" s="4"/>
      <c r="G431" s="5"/>
    </row>
    <row r="432" spans="6:7" x14ac:dyDescent="0.3">
      <c r="F432" s="4"/>
      <c r="G432" s="5"/>
    </row>
    <row r="433" spans="6:7" x14ac:dyDescent="0.3">
      <c r="F433" s="4"/>
      <c r="G433" s="5"/>
    </row>
    <row r="434" spans="6:7" x14ac:dyDescent="0.3">
      <c r="F434" s="4"/>
      <c r="G434" s="5"/>
    </row>
    <row r="435" spans="6:7" x14ac:dyDescent="0.3">
      <c r="F435" s="4"/>
      <c r="G435" s="5"/>
    </row>
    <row r="436" spans="6:7" x14ac:dyDescent="0.3">
      <c r="F436" s="4"/>
      <c r="G436" s="5"/>
    </row>
    <row r="437" spans="6:7" x14ac:dyDescent="0.3">
      <c r="F437" s="4"/>
      <c r="G437" s="5"/>
    </row>
    <row r="438" spans="6:7" x14ac:dyDescent="0.3">
      <c r="F438" s="4"/>
      <c r="G438" s="5"/>
    </row>
    <row r="439" spans="6:7" x14ac:dyDescent="0.3">
      <c r="F439" s="4"/>
      <c r="G439" s="5"/>
    </row>
    <row r="440" spans="6:7" x14ac:dyDescent="0.3">
      <c r="F440" s="4"/>
      <c r="G440" s="5"/>
    </row>
    <row r="441" spans="6:7" x14ac:dyDescent="0.3">
      <c r="F441" s="4"/>
      <c r="G441" s="5"/>
    </row>
    <row r="442" spans="6:7" x14ac:dyDescent="0.3">
      <c r="F442" s="4"/>
      <c r="G442" s="5"/>
    </row>
    <row r="443" spans="6:7" x14ac:dyDescent="0.3">
      <c r="F443" s="4"/>
      <c r="G443" s="5"/>
    </row>
    <row r="444" spans="6:7" x14ac:dyDescent="0.3">
      <c r="F444" s="4"/>
      <c r="G444" s="5"/>
    </row>
    <row r="445" spans="6:7" x14ac:dyDescent="0.3">
      <c r="F445" s="4"/>
      <c r="G445" s="5"/>
    </row>
    <row r="446" spans="6:7" x14ac:dyDescent="0.3">
      <c r="F446" s="4"/>
      <c r="G446" s="5"/>
    </row>
    <row r="447" spans="6:7" x14ac:dyDescent="0.3">
      <c r="F447" s="4"/>
      <c r="G447" s="5"/>
    </row>
    <row r="448" spans="6:7" x14ac:dyDescent="0.3">
      <c r="F448" s="4"/>
      <c r="G448" s="5"/>
    </row>
    <row r="449" spans="6:7" x14ac:dyDescent="0.3">
      <c r="F449" s="4"/>
      <c r="G449" s="5"/>
    </row>
    <row r="450" spans="6:7" x14ac:dyDescent="0.3">
      <c r="F450" s="4"/>
      <c r="G450" s="5"/>
    </row>
    <row r="451" spans="6:7" x14ac:dyDescent="0.3">
      <c r="F451" s="4"/>
      <c r="G451" s="5"/>
    </row>
    <row r="452" spans="6:7" x14ac:dyDescent="0.3">
      <c r="F452" s="4"/>
      <c r="G452" s="5"/>
    </row>
    <row r="453" spans="6:7" x14ac:dyDescent="0.3">
      <c r="F453" s="4"/>
      <c r="G453" s="5"/>
    </row>
    <row r="454" spans="6:7" x14ac:dyDescent="0.3">
      <c r="F454" s="4"/>
      <c r="G454" s="5"/>
    </row>
    <row r="455" spans="6:7" x14ac:dyDescent="0.3">
      <c r="F455" s="4"/>
      <c r="G455" s="5"/>
    </row>
    <row r="456" spans="6:7" x14ac:dyDescent="0.3">
      <c r="F456" s="4"/>
      <c r="G456" s="5"/>
    </row>
    <row r="457" spans="6:7" x14ac:dyDescent="0.3">
      <c r="F457" s="4"/>
      <c r="G457" s="5"/>
    </row>
    <row r="458" spans="6:7" x14ac:dyDescent="0.3">
      <c r="F458" s="4"/>
      <c r="G458" s="5"/>
    </row>
    <row r="459" spans="6:7" x14ac:dyDescent="0.3">
      <c r="F459" s="4"/>
      <c r="G459" s="5"/>
    </row>
    <row r="460" spans="6:7" x14ac:dyDescent="0.3">
      <c r="F460" s="4"/>
      <c r="G460" s="5"/>
    </row>
    <row r="461" spans="6:7" x14ac:dyDescent="0.3">
      <c r="F461" s="4"/>
      <c r="G461" s="5"/>
    </row>
    <row r="462" spans="6:7" x14ac:dyDescent="0.3">
      <c r="F462" s="4"/>
      <c r="G462" s="5"/>
    </row>
    <row r="463" spans="6:7" x14ac:dyDescent="0.3">
      <c r="F463" s="4"/>
      <c r="G463" s="5"/>
    </row>
    <row r="464" spans="6:7" x14ac:dyDescent="0.3">
      <c r="F464" s="4"/>
      <c r="G464" s="5"/>
    </row>
    <row r="465" spans="6:7" x14ac:dyDescent="0.3">
      <c r="F465" s="4"/>
      <c r="G465" s="5"/>
    </row>
    <row r="466" spans="6:7" x14ac:dyDescent="0.3">
      <c r="F466" s="4"/>
      <c r="G466" s="5"/>
    </row>
    <row r="467" spans="6:7" x14ac:dyDescent="0.3">
      <c r="F467" s="4"/>
      <c r="G467" s="5"/>
    </row>
    <row r="468" spans="6:7" x14ac:dyDescent="0.3">
      <c r="F468" s="4"/>
      <c r="G468" s="5"/>
    </row>
    <row r="469" spans="6:7" x14ac:dyDescent="0.3">
      <c r="F469" s="4"/>
      <c r="G469" s="5"/>
    </row>
    <row r="470" spans="6:7" x14ac:dyDescent="0.3">
      <c r="F470" s="4"/>
      <c r="G470" s="5"/>
    </row>
    <row r="471" spans="6:7" x14ac:dyDescent="0.3">
      <c r="F471" s="4"/>
      <c r="G471" s="5"/>
    </row>
    <row r="472" spans="6:7" x14ac:dyDescent="0.3">
      <c r="F472" s="4"/>
      <c r="G472" s="5"/>
    </row>
    <row r="473" spans="6:7" x14ac:dyDescent="0.3">
      <c r="F473" s="4"/>
      <c r="G473" s="5"/>
    </row>
    <row r="474" spans="6:7" x14ac:dyDescent="0.3">
      <c r="F474" s="4"/>
      <c r="G474" s="5"/>
    </row>
    <row r="475" spans="6:7" x14ac:dyDescent="0.3">
      <c r="F475" s="4"/>
      <c r="G475" s="5"/>
    </row>
    <row r="476" spans="6:7" x14ac:dyDescent="0.3">
      <c r="F476" s="4"/>
      <c r="G476" s="5"/>
    </row>
    <row r="477" spans="6:7" x14ac:dyDescent="0.3">
      <c r="F477" s="4"/>
      <c r="G477" s="5"/>
    </row>
    <row r="478" spans="6:7" x14ac:dyDescent="0.3">
      <c r="F478" s="4"/>
      <c r="G478" s="5"/>
    </row>
    <row r="479" spans="6:7" x14ac:dyDescent="0.3">
      <c r="F479" s="4"/>
      <c r="G479" s="5"/>
    </row>
    <row r="480" spans="6:7" x14ac:dyDescent="0.3">
      <c r="F480" s="4"/>
      <c r="G480" s="5"/>
    </row>
    <row r="481" spans="6:7" x14ac:dyDescent="0.3">
      <c r="F481" s="4"/>
      <c r="G481" s="5"/>
    </row>
    <row r="482" spans="6:7" x14ac:dyDescent="0.3">
      <c r="F482" s="4"/>
      <c r="G482" s="5"/>
    </row>
    <row r="483" spans="6:7" x14ac:dyDescent="0.3">
      <c r="F483" s="4"/>
      <c r="G483" s="5"/>
    </row>
    <row r="484" spans="6:7" x14ac:dyDescent="0.3">
      <c r="F484" s="4"/>
      <c r="G484" s="5"/>
    </row>
    <row r="485" spans="6:7" x14ac:dyDescent="0.3">
      <c r="F485" s="4"/>
      <c r="G485" s="5"/>
    </row>
    <row r="486" spans="6:7" x14ac:dyDescent="0.3">
      <c r="F486" s="4"/>
      <c r="G486" s="5"/>
    </row>
    <row r="487" spans="6:7" x14ac:dyDescent="0.3">
      <c r="F487" s="4"/>
      <c r="G487" s="5"/>
    </row>
    <row r="488" spans="6:7" x14ac:dyDescent="0.3">
      <c r="F488" s="4"/>
      <c r="G488" s="5"/>
    </row>
    <row r="489" spans="6:7" x14ac:dyDescent="0.3">
      <c r="F489" s="4"/>
      <c r="G489" s="5"/>
    </row>
    <row r="490" spans="6:7" x14ac:dyDescent="0.3">
      <c r="F490" s="4"/>
      <c r="G490" s="5"/>
    </row>
    <row r="491" spans="6:7" x14ac:dyDescent="0.3">
      <c r="F491" s="4"/>
      <c r="G491" s="5"/>
    </row>
    <row r="492" spans="6:7" x14ac:dyDescent="0.3">
      <c r="F492" s="4"/>
      <c r="G492" s="5"/>
    </row>
    <row r="493" spans="6:7" x14ac:dyDescent="0.3">
      <c r="F493" s="4"/>
      <c r="G493" s="5"/>
    </row>
    <row r="494" spans="6:7" x14ac:dyDescent="0.3">
      <c r="F494" s="4"/>
      <c r="G494" s="5"/>
    </row>
    <row r="495" spans="6:7" x14ac:dyDescent="0.3">
      <c r="F495" s="4"/>
      <c r="G495" s="5"/>
    </row>
    <row r="496" spans="6:7" x14ac:dyDescent="0.3">
      <c r="F496" s="4"/>
      <c r="G496" s="5"/>
    </row>
    <row r="497" spans="6:7" x14ac:dyDescent="0.3">
      <c r="F497" s="4"/>
      <c r="G497" s="5"/>
    </row>
    <row r="498" spans="6:7" x14ac:dyDescent="0.3">
      <c r="F498" s="4"/>
      <c r="G498" s="5"/>
    </row>
    <row r="499" spans="6:7" x14ac:dyDescent="0.3">
      <c r="F499" s="4"/>
      <c r="G499" s="5"/>
    </row>
    <row r="500" spans="6:7" x14ac:dyDescent="0.3">
      <c r="F500" s="4"/>
      <c r="G500" s="5"/>
    </row>
    <row r="501" spans="6:7" x14ac:dyDescent="0.3">
      <c r="F501" s="4"/>
      <c r="G501" s="5"/>
    </row>
    <row r="502" spans="6:7" x14ac:dyDescent="0.3">
      <c r="F502" s="4"/>
      <c r="G502" s="5"/>
    </row>
    <row r="503" spans="6:7" x14ac:dyDescent="0.3">
      <c r="F503" s="4"/>
      <c r="G503" s="5"/>
    </row>
    <row r="504" spans="6:7" x14ac:dyDescent="0.3">
      <c r="F504" s="4"/>
      <c r="G504" s="5"/>
    </row>
    <row r="505" spans="6:7" x14ac:dyDescent="0.3">
      <c r="F505" s="4"/>
      <c r="G505" s="5"/>
    </row>
    <row r="506" spans="6:7" x14ac:dyDescent="0.3">
      <c r="F506" s="4"/>
      <c r="G506" s="5"/>
    </row>
    <row r="507" spans="6:7" x14ac:dyDescent="0.3">
      <c r="F507" s="4"/>
      <c r="G507" s="5"/>
    </row>
    <row r="508" spans="6:7" x14ac:dyDescent="0.3">
      <c r="F508" s="4"/>
      <c r="G508" s="5"/>
    </row>
    <row r="509" spans="6:7" x14ac:dyDescent="0.3">
      <c r="F509" s="4"/>
      <c r="G509" s="5"/>
    </row>
    <row r="510" spans="6:7" x14ac:dyDescent="0.3">
      <c r="F510" s="4"/>
      <c r="G510" s="5"/>
    </row>
    <row r="511" spans="6:7" x14ac:dyDescent="0.3">
      <c r="F511" s="4"/>
      <c r="G511" s="5"/>
    </row>
    <row r="512" spans="6:7" x14ac:dyDescent="0.3">
      <c r="F512" s="4"/>
      <c r="G512" s="5"/>
    </row>
    <row r="513" spans="6:7" x14ac:dyDescent="0.3">
      <c r="F513" s="4"/>
      <c r="G513" s="5"/>
    </row>
    <row r="514" spans="6:7" x14ac:dyDescent="0.3">
      <c r="F514" s="4"/>
      <c r="G514" s="5"/>
    </row>
    <row r="515" spans="6:7" x14ac:dyDescent="0.3">
      <c r="F515" s="4"/>
      <c r="G515" s="5"/>
    </row>
    <row r="516" spans="6:7" x14ac:dyDescent="0.3">
      <c r="F516" s="4"/>
      <c r="G516" s="5"/>
    </row>
    <row r="517" spans="6:7" x14ac:dyDescent="0.3">
      <c r="F517" s="4"/>
      <c r="G517" s="5"/>
    </row>
    <row r="518" spans="6:7" x14ac:dyDescent="0.3">
      <c r="F518" s="4"/>
      <c r="G518" s="5"/>
    </row>
    <row r="519" spans="6:7" x14ac:dyDescent="0.3">
      <c r="F519" s="4"/>
      <c r="G519" s="5"/>
    </row>
    <row r="520" spans="6:7" x14ac:dyDescent="0.3">
      <c r="F520" s="4"/>
      <c r="G520" s="5"/>
    </row>
    <row r="521" spans="6:7" x14ac:dyDescent="0.3">
      <c r="F521" s="4"/>
      <c r="G521" s="5"/>
    </row>
    <row r="522" spans="6:7" x14ac:dyDescent="0.3">
      <c r="F522" s="4"/>
      <c r="G522" s="5"/>
    </row>
    <row r="523" spans="6:7" x14ac:dyDescent="0.3">
      <c r="F523" s="4"/>
      <c r="G523" s="5"/>
    </row>
    <row r="524" spans="6:7" x14ac:dyDescent="0.3">
      <c r="F524" s="4"/>
      <c r="G524" s="5"/>
    </row>
    <row r="525" spans="6:7" x14ac:dyDescent="0.3">
      <c r="F525" s="4"/>
      <c r="G525" s="5"/>
    </row>
    <row r="526" spans="6:7" x14ac:dyDescent="0.3">
      <c r="F526" s="4"/>
      <c r="G526" s="5"/>
    </row>
    <row r="527" spans="6:7" x14ac:dyDescent="0.3">
      <c r="F527" s="4"/>
      <c r="G527" s="5"/>
    </row>
    <row r="528" spans="6:7" x14ac:dyDescent="0.3">
      <c r="F528" s="4"/>
      <c r="G528" s="5"/>
    </row>
    <row r="529" spans="6:7" x14ac:dyDescent="0.3">
      <c r="F529" s="4"/>
      <c r="G529" s="5"/>
    </row>
    <row r="530" spans="6:7" x14ac:dyDescent="0.3">
      <c r="F530" s="4"/>
      <c r="G530" s="5"/>
    </row>
    <row r="531" spans="6:7" x14ac:dyDescent="0.3">
      <c r="F531" s="4"/>
      <c r="G531" s="5"/>
    </row>
    <row r="532" spans="6:7" x14ac:dyDescent="0.3">
      <c r="F532" s="4"/>
      <c r="G532" s="5"/>
    </row>
    <row r="533" spans="6:7" x14ac:dyDescent="0.3">
      <c r="F533" s="4"/>
      <c r="G533" s="5"/>
    </row>
    <row r="534" spans="6:7" x14ac:dyDescent="0.3">
      <c r="F534" s="4"/>
      <c r="G534" s="5"/>
    </row>
    <row r="535" spans="6:7" x14ac:dyDescent="0.3">
      <c r="F535" s="4"/>
      <c r="G535" s="5"/>
    </row>
    <row r="536" spans="6:7" x14ac:dyDescent="0.3">
      <c r="F536" s="4"/>
      <c r="G536" s="5"/>
    </row>
    <row r="537" spans="6:7" x14ac:dyDescent="0.3">
      <c r="F537" s="4"/>
      <c r="G537" s="5"/>
    </row>
    <row r="538" spans="6:7" x14ac:dyDescent="0.3">
      <c r="F538" s="4"/>
      <c r="G538" s="5"/>
    </row>
    <row r="539" spans="6:7" x14ac:dyDescent="0.3">
      <c r="F539" s="4"/>
      <c r="G539" s="5"/>
    </row>
    <row r="540" spans="6:7" x14ac:dyDescent="0.3">
      <c r="F540" s="4"/>
      <c r="G540" s="5"/>
    </row>
    <row r="541" spans="6:7" x14ac:dyDescent="0.3">
      <c r="F541" s="4"/>
      <c r="G541" s="5"/>
    </row>
    <row r="542" spans="6:7" x14ac:dyDescent="0.3">
      <c r="F542" s="4"/>
      <c r="G542" s="5"/>
    </row>
    <row r="543" spans="6:7" x14ac:dyDescent="0.3">
      <c r="F543" s="4"/>
      <c r="G543" s="5"/>
    </row>
    <row r="544" spans="6:7" x14ac:dyDescent="0.3">
      <c r="F544" s="4"/>
      <c r="G544" s="5"/>
    </row>
    <row r="545" spans="6:7" x14ac:dyDescent="0.3">
      <c r="F545" s="4"/>
      <c r="G545" s="5"/>
    </row>
    <row r="546" spans="6:7" x14ac:dyDescent="0.3">
      <c r="F546" s="4"/>
      <c r="G546" s="5"/>
    </row>
    <row r="547" spans="6:7" x14ac:dyDescent="0.3">
      <c r="F547" s="4"/>
      <c r="G547" s="5"/>
    </row>
    <row r="548" spans="6:7" x14ac:dyDescent="0.3">
      <c r="F548" s="4"/>
      <c r="G548" s="5"/>
    </row>
    <row r="549" spans="6:7" x14ac:dyDescent="0.3">
      <c r="F549" s="4"/>
      <c r="G549" s="5"/>
    </row>
    <row r="550" spans="6:7" x14ac:dyDescent="0.3">
      <c r="F550" s="4"/>
      <c r="G550" s="5"/>
    </row>
    <row r="551" spans="6:7" x14ac:dyDescent="0.3">
      <c r="F551" s="4"/>
      <c r="G551" s="5"/>
    </row>
    <row r="552" spans="6:7" x14ac:dyDescent="0.3">
      <c r="F552" s="4"/>
      <c r="G552" s="5"/>
    </row>
    <row r="553" spans="6:7" x14ac:dyDescent="0.3">
      <c r="F553" s="4"/>
      <c r="G553" s="5"/>
    </row>
    <row r="554" spans="6:7" x14ac:dyDescent="0.3">
      <c r="F554" s="4"/>
      <c r="G554" s="5"/>
    </row>
    <row r="555" spans="6:7" x14ac:dyDescent="0.3">
      <c r="F555" s="4"/>
      <c r="G555" s="5"/>
    </row>
    <row r="556" spans="6:7" x14ac:dyDescent="0.3">
      <c r="F556" s="4"/>
      <c r="G556" s="5"/>
    </row>
    <row r="557" spans="6:7" x14ac:dyDescent="0.3">
      <c r="F557" s="4"/>
      <c r="G557" s="5"/>
    </row>
    <row r="558" spans="6:7" x14ac:dyDescent="0.3">
      <c r="F558" s="4"/>
      <c r="G558" s="5"/>
    </row>
    <row r="559" spans="6:7" x14ac:dyDescent="0.3">
      <c r="F559" s="4"/>
      <c r="G559" s="5"/>
    </row>
    <row r="560" spans="6:7" x14ac:dyDescent="0.3">
      <c r="F560" s="4"/>
      <c r="G560" s="5"/>
    </row>
    <row r="561" spans="6:7" x14ac:dyDescent="0.3">
      <c r="F561" s="4"/>
      <c r="G561" s="5"/>
    </row>
    <row r="562" spans="6:7" x14ac:dyDescent="0.3">
      <c r="F562" s="4"/>
      <c r="G562" s="5"/>
    </row>
    <row r="563" spans="6:7" x14ac:dyDescent="0.3">
      <c r="F563" s="4"/>
      <c r="G563" s="5"/>
    </row>
    <row r="564" spans="6:7" x14ac:dyDescent="0.3">
      <c r="F564" s="4"/>
      <c r="G564" s="5"/>
    </row>
    <row r="565" spans="6:7" x14ac:dyDescent="0.3">
      <c r="F565" s="4"/>
      <c r="G565" s="5"/>
    </row>
    <row r="566" spans="6:7" x14ac:dyDescent="0.3">
      <c r="F566" s="4"/>
      <c r="G566" s="5"/>
    </row>
    <row r="567" spans="6:7" x14ac:dyDescent="0.3">
      <c r="F567" s="4"/>
      <c r="G567" s="5"/>
    </row>
    <row r="568" spans="6:7" x14ac:dyDescent="0.3">
      <c r="F568" s="4"/>
      <c r="G568" s="5"/>
    </row>
    <row r="569" spans="6:7" x14ac:dyDescent="0.3">
      <c r="F569" s="4"/>
      <c r="G569" s="5"/>
    </row>
    <row r="570" spans="6:7" x14ac:dyDescent="0.3">
      <c r="F570" s="4"/>
      <c r="G570" s="5"/>
    </row>
    <row r="571" spans="6:7" x14ac:dyDescent="0.3">
      <c r="F571" s="4"/>
      <c r="G571" s="5"/>
    </row>
    <row r="572" spans="6:7" x14ac:dyDescent="0.3">
      <c r="F572" s="4"/>
      <c r="G572" s="5"/>
    </row>
    <row r="573" spans="6:7" x14ac:dyDescent="0.3">
      <c r="F573" s="4"/>
      <c r="G573" s="5"/>
    </row>
    <row r="574" spans="6:7" x14ac:dyDescent="0.3">
      <c r="F574" s="4"/>
      <c r="G574" s="5"/>
    </row>
    <row r="575" spans="6:7" x14ac:dyDescent="0.3">
      <c r="F575" s="4"/>
      <c r="G575" s="5"/>
    </row>
    <row r="576" spans="6:7" x14ac:dyDescent="0.3">
      <c r="F576" s="4"/>
      <c r="G576" s="5"/>
    </row>
    <row r="577" spans="6:7" x14ac:dyDescent="0.3">
      <c r="F577" s="4"/>
      <c r="G577" s="5"/>
    </row>
    <row r="578" spans="6:7" x14ac:dyDescent="0.3">
      <c r="F578" s="4"/>
      <c r="G578" s="5"/>
    </row>
    <row r="579" spans="6:7" x14ac:dyDescent="0.3">
      <c r="F579" s="4"/>
      <c r="G579" s="5"/>
    </row>
    <row r="580" spans="6:7" x14ac:dyDescent="0.3">
      <c r="F580" s="4"/>
      <c r="G580" s="5"/>
    </row>
    <row r="581" spans="6:7" x14ac:dyDescent="0.3">
      <c r="F581" s="4"/>
      <c r="G581" s="5"/>
    </row>
    <row r="582" spans="6:7" x14ac:dyDescent="0.3">
      <c r="F582" s="4"/>
      <c r="G582" s="5"/>
    </row>
    <row r="583" spans="6:7" x14ac:dyDescent="0.3">
      <c r="F583" s="4"/>
      <c r="G583" s="5"/>
    </row>
    <row r="584" spans="6:7" x14ac:dyDescent="0.3">
      <c r="F584" s="4"/>
      <c r="G584" s="5"/>
    </row>
    <row r="585" spans="6:7" x14ac:dyDescent="0.3">
      <c r="F585" s="4"/>
      <c r="G585" s="5"/>
    </row>
    <row r="586" spans="6:7" x14ac:dyDescent="0.3">
      <c r="F586" s="4"/>
      <c r="G586" s="5"/>
    </row>
    <row r="587" spans="6:7" x14ac:dyDescent="0.3">
      <c r="F587" s="4"/>
      <c r="G587" s="5"/>
    </row>
    <row r="588" spans="6:7" x14ac:dyDescent="0.3">
      <c r="F588" s="4"/>
      <c r="G588" s="5"/>
    </row>
    <row r="589" spans="6:7" x14ac:dyDescent="0.3">
      <c r="F589" s="4"/>
      <c r="G589" s="5"/>
    </row>
    <row r="590" spans="6:7" x14ac:dyDescent="0.3">
      <c r="F590" s="4"/>
      <c r="G590" s="5"/>
    </row>
    <row r="591" spans="6:7" x14ac:dyDescent="0.3">
      <c r="F591" s="4"/>
      <c r="G591" s="5"/>
    </row>
    <row r="592" spans="6:7" x14ac:dyDescent="0.3">
      <c r="F592" s="4"/>
      <c r="G592" s="5"/>
    </row>
    <row r="593" spans="6:7" x14ac:dyDescent="0.3">
      <c r="F593" s="4"/>
      <c r="G593" s="5"/>
    </row>
    <row r="594" spans="6:7" x14ac:dyDescent="0.3">
      <c r="F594" s="4"/>
      <c r="G594" s="5"/>
    </row>
    <row r="595" spans="6:7" x14ac:dyDescent="0.3">
      <c r="F595" s="4"/>
      <c r="G595" s="5"/>
    </row>
    <row r="596" spans="6:7" x14ac:dyDescent="0.3">
      <c r="F596" s="4"/>
      <c r="G596" s="5"/>
    </row>
    <row r="597" spans="6:7" x14ac:dyDescent="0.3">
      <c r="F597" s="4"/>
      <c r="G597" s="5"/>
    </row>
    <row r="598" spans="6:7" x14ac:dyDescent="0.3">
      <c r="F598" s="4"/>
      <c r="G598" s="5"/>
    </row>
    <row r="599" spans="6:7" x14ac:dyDescent="0.3">
      <c r="F599" s="4"/>
      <c r="G599" s="5"/>
    </row>
    <row r="600" spans="6:7" x14ac:dyDescent="0.3">
      <c r="F600" s="4"/>
      <c r="G600" s="5"/>
    </row>
    <row r="601" spans="6:7" x14ac:dyDescent="0.3">
      <c r="F601" s="4"/>
      <c r="G601" s="5"/>
    </row>
    <row r="602" spans="6:7" x14ac:dyDescent="0.3">
      <c r="F602" s="4"/>
      <c r="G602" s="5"/>
    </row>
    <row r="603" spans="6:7" x14ac:dyDescent="0.3">
      <c r="F603" s="4"/>
      <c r="G603" s="5"/>
    </row>
    <row r="604" spans="6:7" x14ac:dyDescent="0.3">
      <c r="F604" s="4"/>
      <c r="G604" s="5"/>
    </row>
    <row r="605" spans="6:7" x14ac:dyDescent="0.3">
      <c r="F605" s="4"/>
      <c r="G605" s="5"/>
    </row>
    <row r="606" spans="6:7" x14ac:dyDescent="0.3">
      <c r="F606" s="4"/>
      <c r="G606" s="5"/>
    </row>
    <row r="607" spans="6:7" x14ac:dyDescent="0.3">
      <c r="F607" s="4"/>
      <c r="G607" s="5"/>
    </row>
    <row r="608" spans="6:7" x14ac:dyDescent="0.3">
      <c r="F608" s="4"/>
      <c r="G608" s="5"/>
    </row>
    <row r="609" spans="6:7" x14ac:dyDescent="0.3">
      <c r="F609" s="4"/>
      <c r="G609" s="5"/>
    </row>
    <row r="610" spans="6:7" x14ac:dyDescent="0.3">
      <c r="F610" s="4"/>
      <c r="G610" s="5"/>
    </row>
    <row r="611" spans="6:7" x14ac:dyDescent="0.3">
      <c r="F611" s="4"/>
      <c r="G611" s="5"/>
    </row>
    <row r="612" spans="6:7" x14ac:dyDescent="0.3">
      <c r="F612" s="4"/>
      <c r="G612" s="5"/>
    </row>
    <row r="613" spans="6:7" x14ac:dyDescent="0.3">
      <c r="F613" s="4"/>
      <c r="G613" s="5"/>
    </row>
    <row r="614" spans="6:7" x14ac:dyDescent="0.3">
      <c r="F614" s="4"/>
      <c r="G614" s="5"/>
    </row>
    <row r="615" spans="6:7" x14ac:dyDescent="0.3">
      <c r="F615" s="4"/>
      <c r="G615" s="5"/>
    </row>
    <row r="616" spans="6:7" x14ac:dyDescent="0.3">
      <c r="F616" s="4"/>
      <c r="G616" s="5"/>
    </row>
    <row r="617" spans="6:7" x14ac:dyDescent="0.3">
      <c r="F617" s="4"/>
      <c r="G617" s="5"/>
    </row>
    <row r="618" spans="6:7" x14ac:dyDescent="0.3">
      <c r="F618" s="4"/>
      <c r="G618" s="5"/>
    </row>
    <row r="619" spans="6:7" x14ac:dyDescent="0.3">
      <c r="F619" s="4"/>
      <c r="G619" s="5"/>
    </row>
    <row r="620" spans="6:7" x14ac:dyDescent="0.3">
      <c r="F620" s="4"/>
      <c r="G620" s="5"/>
    </row>
    <row r="621" spans="6:7" x14ac:dyDescent="0.3">
      <c r="F621" s="4"/>
      <c r="G621" s="5"/>
    </row>
    <row r="622" spans="6:7" x14ac:dyDescent="0.3">
      <c r="F622" s="4"/>
      <c r="G622" s="5"/>
    </row>
    <row r="623" spans="6:7" x14ac:dyDescent="0.3">
      <c r="F623" s="4"/>
      <c r="G623" s="5"/>
    </row>
    <row r="624" spans="6:7" x14ac:dyDescent="0.3">
      <c r="F624" s="4"/>
      <c r="G624" s="5"/>
    </row>
    <row r="625" spans="6:7" x14ac:dyDescent="0.3">
      <c r="F625" s="4"/>
      <c r="G625" s="5"/>
    </row>
    <row r="626" spans="6:7" x14ac:dyDescent="0.3">
      <c r="F626" s="4"/>
      <c r="G626" s="5"/>
    </row>
    <row r="627" spans="6:7" x14ac:dyDescent="0.3">
      <c r="F627" s="4"/>
      <c r="G627" s="5"/>
    </row>
    <row r="628" spans="6:7" x14ac:dyDescent="0.3">
      <c r="F628" s="4"/>
      <c r="G628" s="5"/>
    </row>
    <row r="629" spans="6:7" x14ac:dyDescent="0.3">
      <c r="F629" s="4"/>
      <c r="G629" s="5"/>
    </row>
    <row r="630" spans="6:7" x14ac:dyDescent="0.3">
      <c r="F630" s="4"/>
      <c r="G630" s="5"/>
    </row>
    <row r="631" spans="6:7" x14ac:dyDescent="0.3">
      <c r="F631" s="4"/>
      <c r="G631" s="5"/>
    </row>
    <row r="632" spans="6:7" x14ac:dyDescent="0.3">
      <c r="F632" s="4"/>
      <c r="G632" s="5"/>
    </row>
    <row r="633" spans="6:7" x14ac:dyDescent="0.3">
      <c r="F633" s="4"/>
      <c r="G633" s="5"/>
    </row>
    <row r="634" spans="6:7" x14ac:dyDescent="0.3">
      <c r="F634" s="4"/>
      <c r="G634" s="5"/>
    </row>
    <row r="635" spans="6:7" x14ac:dyDescent="0.3">
      <c r="F635" s="4"/>
      <c r="G635" s="5"/>
    </row>
    <row r="636" spans="6:7" x14ac:dyDescent="0.3">
      <c r="F636" s="4"/>
      <c r="G636" s="5"/>
    </row>
    <row r="637" spans="6:7" x14ac:dyDescent="0.3">
      <c r="F637" s="4"/>
      <c r="G637" s="5"/>
    </row>
    <row r="638" spans="6:7" x14ac:dyDescent="0.3">
      <c r="F638" s="4"/>
      <c r="G638" s="5"/>
    </row>
    <row r="639" spans="6:7" x14ac:dyDescent="0.3">
      <c r="F639" s="4"/>
      <c r="G639" s="5"/>
    </row>
    <row r="640" spans="6:7" x14ac:dyDescent="0.3">
      <c r="F640" s="4"/>
      <c r="G640" s="5"/>
    </row>
    <row r="641" spans="6:7" x14ac:dyDescent="0.3">
      <c r="F641" s="4"/>
      <c r="G641" s="5"/>
    </row>
    <row r="642" spans="6:7" x14ac:dyDescent="0.3">
      <c r="F642" s="4"/>
      <c r="G642" s="5"/>
    </row>
    <row r="643" spans="6:7" x14ac:dyDescent="0.3">
      <c r="F643" s="4"/>
      <c r="G643" s="5"/>
    </row>
    <row r="644" spans="6:7" x14ac:dyDescent="0.3">
      <c r="F644" s="4"/>
      <c r="G644" s="5"/>
    </row>
    <row r="645" spans="6:7" x14ac:dyDescent="0.3">
      <c r="F645" s="4"/>
      <c r="G645" s="5"/>
    </row>
    <row r="646" spans="6:7" x14ac:dyDescent="0.3">
      <c r="F646" s="4"/>
      <c r="G646" s="5"/>
    </row>
    <row r="647" spans="6:7" x14ac:dyDescent="0.3">
      <c r="F647" s="4"/>
      <c r="G647" s="5"/>
    </row>
    <row r="648" spans="6:7" x14ac:dyDescent="0.3">
      <c r="F648" s="4"/>
      <c r="G648" s="5"/>
    </row>
    <row r="649" spans="6:7" x14ac:dyDescent="0.3">
      <c r="F649" s="4"/>
      <c r="G649" s="5"/>
    </row>
    <row r="650" spans="6:7" x14ac:dyDescent="0.3">
      <c r="F650" s="4"/>
      <c r="G650" s="5"/>
    </row>
    <row r="651" spans="6:7" x14ac:dyDescent="0.3">
      <c r="F651" s="4"/>
      <c r="G651" s="5"/>
    </row>
    <row r="652" spans="6:7" x14ac:dyDescent="0.3">
      <c r="F652" s="4"/>
      <c r="G652" s="5"/>
    </row>
    <row r="653" spans="6:7" x14ac:dyDescent="0.3">
      <c r="F653" s="4"/>
      <c r="G653" s="5"/>
    </row>
    <row r="654" spans="6:7" x14ac:dyDescent="0.3">
      <c r="F654" s="4"/>
      <c r="G654" s="5"/>
    </row>
    <row r="655" spans="6:7" x14ac:dyDescent="0.3">
      <c r="F655" s="4"/>
      <c r="G655" s="5"/>
    </row>
    <row r="656" spans="6:7" x14ac:dyDescent="0.3">
      <c r="F656" s="4"/>
      <c r="G656" s="5"/>
    </row>
    <row r="657" spans="6:7" x14ac:dyDescent="0.3">
      <c r="F657" s="4"/>
      <c r="G657" s="5"/>
    </row>
    <row r="658" spans="6:7" x14ac:dyDescent="0.3">
      <c r="F658" s="4"/>
      <c r="G658" s="5"/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71245-1A3D-48A3-BC76-B16FEE863930}">
  <dimension ref="A1:E8"/>
  <sheetViews>
    <sheetView zoomScale="205" zoomScaleNormal="205" workbookViewId="0">
      <selection activeCell="B6" sqref="B6"/>
    </sheetView>
  </sheetViews>
  <sheetFormatPr defaultRowHeight="14.4" x14ac:dyDescent="0.3"/>
  <cols>
    <col min="1" max="1" width="15.5546875" customWidth="1"/>
    <col min="2" max="2" width="12.33203125" bestFit="1" customWidth="1"/>
    <col min="4" max="4" width="10.33203125" bestFit="1" customWidth="1"/>
    <col min="5" max="5" width="17.44140625" customWidth="1"/>
  </cols>
  <sheetData>
    <row r="1" spans="1:5" ht="25.8" x14ac:dyDescent="0.5">
      <c r="A1" s="41" t="s">
        <v>66</v>
      </c>
      <c r="B1" s="40"/>
      <c r="C1" s="40"/>
      <c r="D1" s="40"/>
      <c r="E1" s="40"/>
    </row>
    <row r="2" spans="1:5" x14ac:dyDescent="0.3">
      <c r="A2" s="42" t="s">
        <v>67</v>
      </c>
      <c r="B2" s="42" t="s">
        <v>1</v>
      </c>
      <c r="C2" s="42"/>
      <c r="D2" s="42" t="s">
        <v>58</v>
      </c>
    </row>
    <row r="3" spans="1:5" x14ac:dyDescent="0.3">
      <c r="A3" s="43" t="s">
        <v>37</v>
      </c>
      <c r="B3" s="44">
        <f>SUMIFS(Data[Amount],Data[Geography],A3)</f>
        <v>218813</v>
      </c>
      <c r="C3" s="45">
        <v>218813</v>
      </c>
      <c r="D3" s="47">
        <v>7431</v>
      </c>
    </row>
    <row r="4" spans="1:5" x14ac:dyDescent="0.3">
      <c r="A4" s="46" t="s">
        <v>35</v>
      </c>
      <c r="B4" s="44">
        <f>SUMIFS(Data[Amount],Data[Geography],A4)</f>
        <v>189434</v>
      </c>
      <c r="C4" s="45">
        <v>189434</v>
      </c>
      <c r="D4" s="47">
        <v>10158</v>
      </c>
    </row>
    <row r="5" spans="1:5" x14ac:dyDescent="0.3">
      <c r="A5" s="46" t="s">
        <v>36</v>
      </c>
      <c r="B5" s="44">
        <f>SUMIFS(Data[Amount],Data[Geography],A5)</f>
        <v>237944</v>
      </c>
      <c r="C5" s="45">
        <v>237944</v>
      </c>
      <c r="D5" s="47">
        <v>7302</v>
      </c>
    </row>
    <row r="6" spans="1:5" x14ac:dyDescent="0.3">
      <c r="A6" s="43" t="s">
        <v>39</v>
      </c>
      <c r="B6" s="44">
        <f>SUMIFS(Data[Amount],Data[Geography],A6)</f>
        <v>173530</v>
      </c>
      <c r="C6" s="45">
        <v>173530</v>
      </c>
      <c r="D6" s="47">
        <v>5745</v>
      </c>
    </row>
    <row r="7" spans="1:5" x14ac:dyDescent="0.3">
      <c r="A7" s="43" t="s">
        <v>38</v>
      </c>
      <c r="B7" s="44">
        <f>SUMIFS(Data[Amount],Data[Geography],A7)</f>
        <v>168679</v>
      </c>
      <c r="C7" s="45">
        <v>168679</v>
      </c>
      <c r="D7" s="47">
        <v>6264</v>
      </c>
    </row>
    <row r="8" spans="1:5" x14ac:dyDescent="0.3">
      <c r="A8" s="46" t="s">
        <v>34</v>
      </c>
      <c r="B8" s="44">
        <f>SUMIFS(Data[Amount],Data[Geography],A8)</f>
        <v>252469</v>
      </c>
      <c r="C8" s="45">
        <v>252469</v>
      </c>
      <c r="D8" s="47">
        <v>8760</v>
      </c>
    </row>
  </sheetData>
  <mergeCells count="1">
    <mergeCell ref="A1:E1"/>
  </mergeCells>
  <conditionalFormatting sqref="D1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{7371C2E3-015B-4E85-AB48-12A7A3C703A1}</x14:id>
        </ext>
      </extLst>
    </cfRule>
    <cfRule type="cellIs" dxfId="1" priority="10" operator="lessThan">
      <formula>2000</formula>
    </cfRule>
  </conditionalFormatting>
  <conditionalFormatting sqref="C2:C8">
    <cfRule type="dataBar" priority="1">
      <dataBar showValue="0">
        <cfvo type="min"/>
        <cfvo type="max"/>
        <color rgb="FF00B0F0"/>
      </dataBar>
      <extLst>
        <ext xmlns:x14="http://schemas.microsoft.com/office/spreadsheetml/2009/9/main" uri="{B025F937-C7B1-47D3-B67F-A62EFF666E3E}">
          <x14:id>{BBD51D78-DF69-4FB4-80E7-ED5A5A8EBD58}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71C2E3-015B-4E85-AB48-12A7A3C703A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D1</xm:sqref>
        </x14:conditionalFormatting>
        <x14:conditionalFormatting xmlns:xm="http://schemas.microsoft.com/office/excel/2006/main">
          <x14:cfRule type="dataBar" id="{BBD51D78-DF69-4FB4-80E7-ED5A5A8EBD58}">
            <x14:dataBar minLength="0" maxLength="100" border="1" negativeBarBorderColorSameAsPositive="0">
              <x14:cfvo type="autoMin"/>
              <x14:cfvo type="autoMax"/>
              <x14:borderColor rgb="FF0070C0"/>
              <x14:negativeFillColor rgb="FFFF0000"/>
              <x14:negativeBorderColor rgb="FFFF0000"/>
              <x14:axisColor rgb="FF000000"/>
            </x14:dataBar>
          </x14:cfRule>
          <xm:sqref>C2:C8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6E9FD-C1D1-44D7-8302-4020B1077F0A}">
  <dimension ref="A1:H303"/>
  <sheetViews>
    <sheetView zoomScale="130" zoomScaleNormal="130" workbookViewId="0">
      <selection activeCell="H16" sqref="H16"/>
    </sheetView>
  </sheetViews>
  <sheetFormatPr defaultRowHeight="14.4" x14ac:dyDescent="0.3"/>
  <cols>
    <col min="1" max="1" width="19" customWidth="1"/>
    <col min="2" max="2" width="15.21875" customWidth="1"/>
    <col min="3" max="3" width="23.109375" customWidth="1"/>
    <col min="4" max="4" width="15.109375" customWidth="1"/>
    <col min="5" max="5" width="14.77734375" customWidth="1"/>
    <col min="6" max="6" width="8.44140625" customWidth="1"/>
    <col min="7" max="7" width="10.21875" customWidth="1"/>
    <col min="8" max="8" width="9.33203125" customWidth="1"/>
  </cols>
  <sheetData>
    <row r="1" spans="1:8" ht="25.8" x14ac:dyDescent="0.5">
      <c r="A1" s="41" t="s">
        <v>53</v>
      </c>
      <c r="B1" s="40"/>
      <c r="C1" s="40"/>
      <c r="D1" s="40"/>
      <c r="E1" s="40"/>
      <c r="F1" s="40"/>
      <c r="G1" s="40"/>
      <c r="H1" s="40"/>
    </row>
    <row r="3" spans="1:8" x14ac:dyDescent="0.3">
      <c r="A3" s="6" t="s">
        <v>11</v>
      </c>
      <c r="B3" s="6" t="s">
        <v>12</v>
      </c>
      <c r="C3" s="6" t="s">
        <v>0</v>
      </c>
      <c r="D3" s="10" t="s">
        <v>1</v>
      </c>
      <c r="E3" s="10" t="s">
        <v>50</v>
      </c>
    </row>
    <row r="4" spans="1:8" x14ac:dyDescent="0.3">
      <c r="A4" t="s">
        <v>40</v>
      </c>
      <c r="B4" t="s">
        <v>37</v>
      </c>
      <c r="C4" t="s">
        <v>30</v>
      </c>
      <c r="D4" s="4">
        <v>1624</v>
      </c>
      <c r="E4" s="5">
        <v>114</v>
      </c>
    </row>
    <row r="5" spans="1:8" x14ac:dyDescent="0.3">
      <c r="A5" t="s">
        <v>8</v>
      </c>
      <c r="B5" t="s">
        <v>35</v>
      </c>
      <c r="C5" t="s">
        <v>32</v>
      </c>
      <c r="D5" s="4">
        <v>6706</v>
      </c>
      <c r="E5" s="5">
        <v>459</v>
      </c>
    </row>
    <row r="6" spans="1:8" x14ac:dyDescent="0.3">
      <c r="A6" t="s">
        <v>9</v>
      </c>
      <c r="B6" t="s">
        <v>35</v>
      </c>
      <c r="C6" t="s">
        <v>4</v>
      </c>
      <c r="D6" s="4">
        <v>959</v>
      </c>
      <c r="E6" s="5">
        <v>147</v>
      </c>
    </row>
    <row r="7" spans="1:8" x14ac:dyDescent="0.3">
      <c r="A7" t="s">
        <v>41</v>
      </c>
      <c r="B7" t="s">
        <v>36</v>
      </c>
      <c r="C7" t="s">
        <v>18</v>
      </c>
      <c r="D7" s="4">
        <v>9632</v>
      </c>
      <c r="E7" s="5">
        <v>288</v>
      </c>
    </row>
    <row r="8" spans="1:8" x14ac:dyDescent="0.3">
      <c r="A8" t="s">
        <v>6</v>
      </c>
      <c r="B8" t="s">
        <v>39</v>
      </c>
      <c r="C8" t="s">
        <v>25</v>
      </c>
      <c r="D8" s="4">
        <v>2100</v>
      </c>
      <c r="E8" s="5">
        <v>414</v>
      </c>
    </row>
    <row r="9" spans="1:8" x14ac:dyDescent="0.3">
      <c r="A9" t="s">
        <v>40</v>
      </c>
      <c r="B9" t="s">
        <v>35</v>
      </c>
      <c r="C9" t="s">
        <v>33</v>
      </c>
      <c r="D9" s="4">
        <v>8869</v>
      </c>
      <c r="E9" s="5">
        <v>432</v>
      </c>
    </row>
    <row r="10" spans="1:8" x14ac:dyDescent="0.3">
      <c r="A10" t="s">
        <v>6</v>
      </c>
      <c r="B10" t="s">
        <v>38</v>
      </c>
      <c r="C10" t="s">
        <v>31</v>
      </c>
      <c r="D10" s="4">
        <v>2681</v>
      </c>
      <c r="E10" s="5">
        <v>54</v>
      </c>
    </row>
    <row r="11" spans="1:8" x14ac:dyDescent="0.3">
      <c r="A11" t="s">
        <v>8</v>
      </c>
      <c r="B11" t="s">
        <v>35</v>
      </c>
      <c r="C11" t="s">
        <v>22</v>
      </c>
      <c r="D11" s="4">
        <v>5012</v>
      </c>
      <c r="E11" s="5">
        <v>210</v>
      </c>
    </row>
    <row r="12" spans="1:8" x14ac:dyDescent="0.3">
      <c r="A12" t="s">
        <v>7</v>
      </c>
      <c r="B12" t="s">
        <v>38</v>
      </c>
      <c r="C12" t="s">
        <v>14</v>
      </c>
      <c r="D12" s="4">
        <v>1281</v>
      </c>
      <c r="E12" s="5">
        <v>75</v>
      </c>
    </row>
    <row r="13" spans="1:8" x14ac:dyDescent="0.3">
      <c r="A13" t="s">
        <v>5</v>
      </c>
      <c r="B13" t="s">
        <v>37</v>
      </c>
      <c r="C13" t="s">
        <v>14</v>
      </c>
      <c r="D13" s="4">
        <v>4991</v>
      </c>
      <c r="E13" s="5">
        <v>12</v>
      </c>
    </row>
    <row r="14" spans="1:8" x14ac:dyDescent="0.3">
      <c r="A14" t="s">
        <v>2</v>
      </c>
      <c r="B14" t="s">
        <v>39</v>
      </c>
      <c r="C14" t="s">
        <v>25</v>
      </c>
      <c r="D14" s="4">
        <v>1785</v>
      </c>
      <c r="E14" s="5">
        <v>462</v>
      </c>
    </row>
    <row r="15" spans="1:8" x14ac:dyDescent="0.3">
      <c r="A15" t="s">
        <v>3</v>
      </c>
      <c r="B15" t="s">
        <v>37</v>
      </c>
      <c r="C15" t="s">
        <v>17</v>
      </c>
      <c r="D15" s="4">
        <v>3983</v>
      </c>
      <c r="E15" s="5">
        <v>144</v>
      </c>
    </row>
    <row r="16" spans="1:8" x14ac:dyDescent="0.3">
      <c r="A16" t="s">
        <v>9</v>
      </c>
      <c r="B16" t="s">
        <v>38</v>
      </c>
      <c r="C16" t="s">
        <v>16</v>
      </c>
      <c r="D16" s="4">
        <v>2646</v>
      </c>
      <c r="E16" s="5">
        <v>120</v>
      </c>
    </row>
    <row r="17" spans="1:5" x14ac:dyDescent="0.3">
      <c r="A17" t="s">
        <v>2</v>
      </c>
      <c r="B17" t="s">
        <v>34</v>
      </c>
      <c r="C17" t="s">
        <v>13</v>
      </c>
      <c r="D17" s="4">
        <v>252</v>
      </c>
      <c r="E17" s="5">
        <v>54</v>
      </c>
    </row>
    <row r="18" spans="1:5" x14ac:dyDescent="0.3">
      <c r="A18" t="s">
        <v>3</v>
      </c>
      <c r="B18" t="s">
        <v>35</v>
      </c>
      <c r="C18" t="s">
        <v>25</v>
      </c>
      <c r="D18" s="4">
        <v>2464</v>
      </c>
      <c r="E18" s="5">
        <v>234</v>
      </c>
    </row>
    <row r="19" spans="1:5" x14ac:dyDescent="0.3">
      <c r="A19" t="s">
        <v>3</v>
      </c>
      <c r="B19" t="s">
        <v>35</v>
      </c>
      <c r="C19" t="s">
        <v>29</v>
      </c>
      <c r="D19" s="4">
        <v>2114</v>
      </c>
      <c r="E19" s="5">
        <v>66</v>
      </c>
    </row>
    <row r="20" spans="1:5" x14ac:dyDescent="0.3">
      <c r="A20" t="s">
        <v>6</v>
      </c>
      <c r="B20" t="s">
        <v>37</v>
      </c>
      <c r="C20" t="s">
        <v>31</v>
      </c>
      <c r="D20" s="4">
        <v>7693</v>
      </c>
      <c r="E20" s="5">
        <v>87</v>
      </c>
    </row>
    <row r="21" spans="1:5" x14ac:dyDescent="0.3">
      <c r="A21" t="s">
        <v>5</v>
      </c>
      <c r="B21" t="s">
        <v>34</v>
      </c>
      <c r="C21" t="s">
        <v>20</v>
      </c>
      <c r="D21" s="4">
        <v>15610</v>
      </c>
      <c r="E21" s="5">
        <v>339</v>
      </c>
    </row>
    <row r="22" spans="1:5" x14ac:dyDescent="0.3">
      <c r="A22" t="s">
        <v>41</v>
      </c>
      <c r="B22" t="s">
        <v>34</v>
      </c>
      <c r="C22" t="s">
        <v>22</v>
      </c>
      <c r="D22" s="4">
        <v>336</v>
      </c>
      <c r="E22" s="5">
        <v>144</v>
      </c>
    </row>
    <row r="23" spans="1:5" x14ac:dyDescent="0.3">
      <c r="A23" t="s">
        <v>2</v>
      </c>
      <c r="B23" t="s">
        <v>39</v>
      </c>
      <c r="C23" t="s">
        <v>20</v>
      </c>
      <c r="D23" s="4">
        <v>9443</v>
      </c>
      <c r="E23" s="5">
        <v>162</v>
      </c>
    </row>
    <row r="24" spans="1:5" x14ac:dyDescent="0.3">
      <c r="A24" t="s">
        <v>9</v>
      </c>
      <c r="B24" t="s">
        <v>34</v>
      </c>
      <c r="C24" t="s">
        <v>23</v>
      </c>
      <c r="D24" s="4">
        <v>8155</v>
      </c>
      <c r="E24" s="5">
        <v>90</v>
      </c>
    </row>
    <row r="25" spans="1:5" x14ac:dyDescent="0.3">
      <c r="A25" t="s">
        <v>8</v>
      </c>
      <c r="B25" t="s">
        <v>38</v>
      </c>
      <c r="C25" t="s">
        <v>23</v>
      </c>
      <c r="D25" s="4">
        <v>1701</v>
      </c>
      <c r="E25" s="5">
        <v>234</v>
      </c>
    </row>
    <row r="26" spans="1:5" x14ac:dyDescent="0.3">
      <c r="A26" t="s">
        <v>10</v>
      </c>
      <c r="B26" t="s">
        <v>38</v>
      </c>
      <c r="C26" t="s">
        <v>22</v>
      </c>
      <c r="D26" s="4">
        <v>2205</v>
      </c>
      <c r="E26" s="5">
        <v>141</v>
      </c>
    </row>
    <row r="27" spans="1:5" x14ac:dyDescent="0.3">
      <c r="A27" t="s">
        <v>8</v>
      </c>
      <c r="B27" t="s">
        <v>37</v>
      </c>
      <c r="C27" t="s">
        <v>19</v>
      </c>
      <c r="D27" s="4">
        <v>1771</v>
      </c>
      <c r="E27" s="5">
        <v>204</v>
      </c>
    </row>
    <row r="28" spans="1:5" x14ac:dyDescent="0.3">
      <c r="A28" t="s">
        <v>41</v>
      </c>
      <c r="B28" t="s">
        <v>35</v>
      </c>
      <c r="C28" t="s">
        <v>15</v>
      </c>
      <c r="D28" s="4">
        <v>2114</v>
      </c>
      <c r="E28" s="5">
        <v>186</v>
      </c>
    </row>
    <row r="29" spans="1:5" x14ac:dyDescent="0.3">
      <c r="A29" t="s">
        <v>41</v>
      </c>
      <c r="B29" t="s">
        <v>36</v>
      </c>
      <c r="C29" t="s">
        <v>13</v>
      </c>
      <c r="D29" s="4">
        <v>10311</v>
      </c>
      <c r="E29" s="5">
        <v>231</v>
      </c>
    </row>
    <row r="30" spans="1:5" x14ac:dyDescent="0.3">
      <c r="A30" t="s">
        <v>3</v>
      </c>
      <c r="B30" t="s">
        <v>39</v>
      </c>
      <c r="C30" t="s">
        <v>16</v>
      </c>
      <c r="D30" s="4">
        <v>21</v>
      </c>
      <c r="E30" s="5">
        <v>168</v>
      </c>
    </row>
    <row r="31" spans="1:5" x14ac:dyDescent="0.3">
      <c r="A31" t="s">
        <v>10</v>
      </c>
      <c r="B31" t="s">
        <v>35</v>
      </c>
      <c r="C31" t="s">
        <v>20</v>
      </c>
      <c r="D31" s="4">
        <v>1974</v>
      </c>
      <c r="E31" s="5">
        <v>195</v>
      </c>
    </row>
    <row r="32" spans="1:5" x14ac:dyDescent="0.3">
      <c r="A32" t="s">
        <v>5</v>
      </c>
      <c r="B32" t="s">
        <v>36</v>
      </c>
      <c r="C32" t="s">
        <v>23</v>
      </c>
      <c r="D32" s="4">
        <v>6314</v>
      </c>
      <c r="E32" s="5">
        <v>15</v>
      </c>
    </row>
    <row r="33" spans="1:5" x14ac:dyDescent="0.3">
      <c r="A33" t="s">
        <v>10</v>
      </c>
      <c r="B33" t="s">
        <v>37</v>
      </c>
      <c r="C33" t="s">
        <v>23</v>
      </c>
      <c r="D33" s="4">
        <v>4683</v>
      </c>
      <c r="E33" s="5">
        <v>30</v>
      </c>
    </row>
    <row r="34" spans="1:5" x14ac:dyDescent="0.3">
      <c r="A34" t="s">
        <v>41</v>
      </c>
      <c r="B34" t="s">
        <v>37</v>
      </c>
      <c r="C34" t="s">
        <v>24</v>
      </c>
      <c r="D34" s="4">
        <v>6398</v>
      </c>
      <c r="E34" s="5">
        <v>102</v>
      </c>
    </row>
    <row r="35" spans="1:5" x14ac:dyDescent="0.3">
      <c r="A35" t="s">
        <v>2</v>
      </c>
      <c r="B35" t="s">
        <v>35</v>
      </c>
      <c r="C35" t="s">
        <v>19</v>
      </c>
      <c r="D35" s="4">
        <v>553</v>
      </c>
      <c r="E35" s="5">
        <v>15</v>
      </c>
    </row>
    <row r="36" spans="1:5" x14ac:dyDescent="0.3">
      <c r="A36" t="s">
        <v>8</v>
      </c>
      <c r="B36" t="s">
        <v>39</v>
      </c>
      <c r="C36" t="s">
        <v>30</v>
      </c>
      <c r="D36" s="4">
        <v>7021</v>
      </c>
      <c r="E36" s="5">
        <v>183</v>
      </c>
    </row>
    <row r="37" spans="1:5" x14ac:dyDescent="0.3">
      <c r="A37" t="s">
        <v>40</v>
      </c>
      <c r="B37" t="s">
        <v>39</v>
      </c>
      <c r="C37" t="s">
        <v>22</v>
      </c>
      <c r="D37" s="4">
        <v>5817</v>
      </c>
      <c r="E37" s="5">
        <v>12</v>
      </c>
    </row>
    <row r="38" spans="1:5" x14ac:dyDescent="0.3">
      <c r="A38" t="s">
        <v>41</v>
      </c>
      <c r="B38" t="s">
        <v>39</v>
      </c>
      <c r="C38" t="s">
        <v>14</v>
      </c>
      <c r="D38" s="4">
        <v>3976</v>
      </c>
      <c r="E38" s="5">
        <v>72</v>
      </c>
    </row>
    <row r="39" spans="1:5" x14ac:dyDescent="0.3">
      <c r="A39" t="s">
        <v>6</v>
      </c>
      <c r="B39" t="s">
        <v>38</v>
      </c>
      <c r="C39" t="s">
        <v>27</v>
      </c>
      <c r="D39" s="4">
        <v>1134</v>
      </c>
      <c r="E39" s="5">
        <v>282</v>
      </c>
    </row>
    <row r="40" spans="1:5" x14ac:dyDescent="0.3">
      <c r="A40" t="s">
        <v>2</v>
      </c>
      <c r="B40" t="s">
        <v>39</v>
      </c>
      <c r="C40" t="s">
        <v>28</v>
      </c>
      <c r="D40" s="4">
        <v>6027</v>
      </c>
      <c r="E40" s="5">
        <v>144</v>
      </c>
    </row>
    <row r="41" spans="1:5" x14ac:dyDescent="0.3">
      <c r="A41" t="s">
        <v>6</v>
      </c>
      <c r="B41" t="s">
        <v>37</v>
      </c>
      <c r="C41" t="s">
        <v>16</v>
      </c>
      <c r="D41" s="4">
        <v>1904</v>
      </c>
      <c r="E41" s="5">
        <v>405</v>
      </c>
    </row>
    <row r="42" spans="1:5" x14ac:dyDescent="0.3">
      <c r="A42" t="s">
        <v>7</v>
      </c>
      <c r="B42" t="s">
        <v>34</v>
      </c>
      <c r="C42" t="s">
        <v>32</v>
      </c>
      <c r="D42" s="4">
        <v>3262</v>
      </c>
      <c r="E42" s="5">
        <v>75</v>
      </c>
    </row>
    <row r="43" spans="1:5" x14ac:dyDescent="0.3">
      <c r="A43" t="s">
        <v>40</v>
      </c>
      <c r="B43" t="s">
        <v>34</v>
      </c>
      <c r="C43" t="s">
        <v>27</v>
      </c>
      <c r="D43" s="4">
        <v>2289</v>
      </c>
      <c r="E43" s="5">
        <v>135</v>
      </c>
    </row>
    <row r="44" spans="1:5" x14ac:dyDescent="0.3">
      <c r="A44" t="s">
        <v>5</v>
      </c>
      <c r="B44" t="s">
        <v>34</v>
      </c>
      <c r="C44" t="s">
        <v>27</v>
      </c>
      <c r="D44" s="4">
        <v>6986</v>
      </c>
      <c r="E44" s="5">
        <v>21</v>
      </c>
    </row>
    <row r="45" spans="1:5" x14ac:dyDescent="0.3">
      <c r="A45" t="s">
        <v>2</v>
      </c>
      <c r="B45" t="s">
        <v>38</v>
      </c>
      <c r="C45" t="s">
        <v>23</v>
      </c>
      <c r="D45" s="4">
        <v>4417</v>
      </c>
      <c r="E45" s="5">
        <v>153</v>
      </c>
    </row>
    <row r="46" spans="1:5" x14ac:dyDescent="0.3">
      <c r="A46" t="s">
        <v>6</v>
      </c>
      <c r="B46" t="s">
        <v>34</v>
      </c>
      <c r="C46" t="s">
        <v>15</v>
      </c>
      <c r="D46" s="4">
        <v>1442</v>
      </c>
      <c r="E46" s="5">
        <v>15</v>
      </c>
    </row>
    <row r="47" spans="1:5" x14ac:dyDescent="0.3">
      <c r="A47" t="s">
        <v>3</v>
      </c>
      <c r="B47" t="s">
        <v>35</v>
      </c>
      <c r="C47" t="s">
        <v>14</v>
      </c>
      <c r="D47" s="4">
        <v>2415</v>
      </c>
      <c r="E47" s="5">
        <v>255</v>
      </c>
    </row>
    <row r="48" spans="1:5" x14ac:dyDescent="0.3">
      <c r="A48" t="s">
        <v>2</v>
      </c>
      <c r="B48" t="s">
        <v>37</v>
      </c>
      <c r="C48" t="s">
        <v>19</v>
      </c>
      <c r="D48" s="4">
        <v>238</v>
      </c>
      <c r="E48" s="5">
        <v>18</v>
      </c>
    </row>
    <row r="49" spans="1:5" x14ac:dyDescent="0.3">
      <c r="A49" t="s">
        <v>6</v>
      </c>
      <c r="B49" t="s">
        <v>37</v>
      </c>
      <c r="C49" t="s">
        <v>23</v>
      </c>
      <c r="D49" s="4">
        <v>4949</v>
      </c>
      <c r="E49" s="5">
        <v>189</v>
      </c>
    </row>
    <row r="50" spans="1:5" x14ac:dyDescent="0.3">
      <c r="A50" t="s">
        <v>5</v>
      </c>
      <c r="B50" t="s">
        <v>38</v>
      </c>
      <c r="C50" t="s">
        <v>32</v>
      </c>
      <c r="D50" s="4">
        <v>5075</v>
      </c>
      <c r="E50" s="5">
        <v>21</v>
      </c>
    </row>
    <row r="51" spans="1:5" x14ac:dyDescent="0.3">
      <c r="A51" t="s">
        <v>3</v>
      </c>
      <c r="B51" t="s">
        <v>36</v>
      </c>
      <c r="C51" t="s">
        <v>16</v>
      </c>
      <c r="D51" s="4">
        <v>9198</v>
      </c>
      <c r="E51" s="5">
        <v>36</v>
      </c>
    </row>
    <row r="52" spans="1:5" x14ac:dyDescent="0.3">
      <c r="A52" t="s">
        <v>6</v>
      </c>
      <c r="B52" t="s">
        <v>34</v>
      </c>
      <c r="C52" t="s">
        <v>29</v>
      </c>
      <c r="D52" s="4">
        <v>3339</v>
      </c>
      <c r="E52" s="5">
        <v>75</v>
      </c>
    </row>
    <row r="53" spans="1:5" x14ac:dyDescent="0.3">
      <c r="A53" t="s">
        <v>40</v>
      </c>
      <c r="B53" t="s">
        <v>34</v>
      </c>
      <c r="C53" t="s">
        <v>17</v>
      </c>
      <c r="D53" s="4">
        <v>5019</v>
      </c>
      <c r="E53" s="5">
        <v>156</v>
      </c>
    </row>
    <row r="54" spans="1:5" x14ac:dyDescent="0.3">
      <c r="A54" t="s">
        <v>5</v>
      </c>
      <c r="B54" t="s">
        <v>36</v>
      </c>
      <c r="C54" t="s">
        <v>16</v>
      </c>
      <c r="D54" s="4">
        <v>16184</v>
      </c>
      <c r="E54" s="5">
        <v>39</v>
      </c>
    </row>
    <row r="55" spans="1:5" x14ac:dyDescent="0.3">
      <c r="A55" t="s">
        <v>6</v>
      </c>
      <c r="B55" t="s">
        <v>36</v>
      </c>
      <c r="C55" t="s">
        <v>21</v>
      </c>
      <c r="D55" s="4">
        <v>497</v>
      </c>
      <c r="E55" s="5">
        <v>63</v>
      </c>
    </row>
    <row r="56" spans="1:5" x14ac:dyDescent="0.3">
      <c r="A56" t="s">
        <v>2</v>
      </c>
      <c r="B56" t="s">
        <v>36</v>
      </c>
      <c r="C56" t="s">
        <v>29</v>
      </c>
      <c r="D56" s="4">
        <v>8211</v>
      </c>
      <c r="E56" s="5">
        <v>75</v>
      </c>
    </row>
    <row r="57" spans="1:5" x14ac:dyDescent="0.3">
      <c r="A57" t="s">
        <v>2</v>
      </c>
      <c r="B57" t="s">
        <v>38</v>
      </c>
      <c r="C57" t="s">
        <v>28</v>
      </c>
      <c r="D57" s="4">
        <v>6580</v>
      </c>
      <c r="E57" s="5">
        <v>183</v>
      </c>
    </row>
    <row r="58" spans="1:5" x14ac:dyDescent="0.3">
      <c r="A58" t="s">
        <v>41</v>
      </c>
      <c r="B58" t="s">
        <v>35</v>
      </c>
      <c r="C58" t="s">
        <v>13</v>
      </c>
      <c r="D58" s="4">
        <v>4760</v>
      </c>
      <c r="E58" s="5">
        <v>69</v>
      </c>
    </row>
    <row r="59" spans="1:5" x14ac:dyDescent="0.3">
      <c r="A59" t="s">
        <v>40</v>
      </c>
      <c r="B59" t="s">
        <v>36</v>
      </c>
      <c r="C59" t="s">
        <v>25</v>
      </c>
      <c r="D59" s="4">
        <v>5439</v>
      </c>
      <c r="E59" s="5">
        <v>30</v>
      </c>
    </row>
    <row r="60" spans="1:5" x14ac:dyDescent="0.3">
      <c r="A60" t="s">
        <v>41</v>
      </c>
      <c r="B60" t="s">
        <v>34</v>
      </c>
      <c r="C60" t="s">
        <v>17</v>
      </c>
      <c r="D60" s="4">
        <v>1463</v>
      </c>
      <c r="E60" s="5">
        <v>39</v>
      </c>
    </row>
    <row r="61" spans="1:5" x14ac:dyDescent="0.3">
      <c r="A61" t="s">
        <v>3</v>
      </c>
      <c r="B61" t="s">
        <v>34</v>
      </c>
      <c r="C61" t="s">
        <v>32</v>
      </c>
      <c r="D61" s="4">
        <v>7777</v>
      </c>
      <c r="E61" s="5">
        <v>504</v>
      </c>
    </row>
    <row r="62" spans="1:5" x14ac:dyDescent="0.3">
      <c r="A62" t="s">
        <v>9</v>
      </c>
      <c r="B62" t="s">
        <v>37</v>
      </c>
      <c r="C62" t="s">
        <v>29</v>
      </c>
      <c r="D62" s="4">
        <v>1085</v>
      </c>
      <c r="E62" s="5">
        <v>273</v>
      </c>
    </row>
    <row r="63" spans="1:5" x14ac:dyDescent="0.3">
      <c r="A63" t="s">
        <v>5</v>
      </c>
      <c r="B63" t="s">
        <v>37</v>
      </c>
      <c r="C63" t="s">
        <v>31</v>
      </c>
      <c r="D63" s="4">
        <v>182</v>
      </c>
      <c r="E63" s="5">
        <v>48</v>
      </c>
    </row>
    <row r="64" spans="1:5" x14ac:dyDescent="0.3">
      <c r="A64" t="s">
        <v>6</v>
      </c>
      <c r="B64" t="s">
        <v>34</v>
      </c>
      <c r="C64" t="s">
        <v>27</v>
      </c>
      <c r="D64" s="4">
        <v>4242</v>
      </c>
      <c r="E64" s="5">
        <v>207</v>
      </c>
    </row>
    <row r="65" spans="1:5" x14ac:dyDescent="0.3">
      <c r="A65" t="s">
        <v>6</v>
      </c>
      <c r="B65" t="s">
        <v>36</v>
      </c>
      <c r="C65" t="s">
        <v>32</v>
      </c>
      <c r="D65" s="4">
        <v>6118</v>
      </c>
      <c r="E65" s="5">
        <v>9</v>
      </c>
    </row>
    <row r="66" spans="1:5" x14ac:dyDescent="0.3">
      <c r="A66" t="s">
        <v>10</v>
      </c>
      <c r="B66" t="s">
        <v>36</v>
      </c>
      <c r="C66" t="s">
        <v>23</v>
      </c>
      <c r="D66" s="4">
        <v>2317</v>
      </c>
      <c r="E66" s="5">
        <v>261</v>
      </c>
    </row>
    <row r="67" spans="1:5" x14ac:dyDescent="0.3">
      <c r="A67" t="s">
        <v>6</v>
      </c>
      <c r="B67" t="s">
        <v>38</v>
      </c>
      <c r="C67" t="s">
        <v>16</v>
      </c>
      <c r="D67" s="4">
        <v>938</v>
      </c>
      <c r="E67" s="5">
        <v>6</v>
      </c>
    </row>
    <row r="68" spans="1:5" x14ac:dyDescent="0.3">
      <c r="A68" t="s">
        <v>8</v>
      </c>
      <c r="B68" t="s">
        <v>37</v>
      </c>
      <c r="C68" t="s">
        <v>15</v>
      </c>
      <c r="D68" s="4">
        <v>9709</v>
      </c>
      <c r="E68" s="5">
        <v>30</v>
      </c>
    </row>
    <row r="69" spans="1:5" x14ac:dyDescent="0.3">
      <c r="A69" t="s">
        <v>7</v>
      </c>
      <c r="B69" t="s">
        <v>34</v>
      </c>
      <c r="C69" t="s">
        <v>20</v>
      </c>
      <c r="D69" s="4">
        <v>2205</v>
      </c>
      <c r="E69" s="5">
        <v>138</v>
      </c>
    </row>
    <row r="70" spans="1:5" x14ac:dyDescent="0.3">
      <c r="A70" t="s">
        <v>7</v>
      </c>
      <c r="B70" t="s">
        <v>37</v>
      </c>
      <c r="C70" t="s">
        <v>17</v>
      </c>
      <c r="D70" s="4">
        <v>4487</v>
      </c>
      <c r="E70" s="5">
        <v>111</v>
      </c>
    </row>
    <row r="71" spans="1:5" x14ac:dyDescent="0.3">
      <c r="A71" t="s">
        <v>5</v>
      </c>
      <c r="B71" t="s">
        <v>35</v>
      </c>
      <c r="C71" t="s">
        <v>18</v>
      </c>
      <c r="D71" s="4">
        <v>2415</v>
      </c>
      <c r="E71" s="5">
        <v>15</v>
      </c>
    </row>
    <row r="72" spans="1:5" x14ac:dyDescent="0.3">
      <c r="A72" t="s">
        <v>40</v>
      </c>
      <c r="B72" t="s">
        <v>34</v>
      </c>
      <c r="C72" t="s">
        <v>19</v>
      </c>
      <c r="D72" s="4">
        <v>4018</v>
      </c>
      <c r="E72" s="5">
        <v>162</v>
      </c>
    </row>
    <row r="73" spans="1:5" x14ac:dyDescent="0.3">
      <c r="A73" t="s">
        <v>5</v>
      </c>
      <c r="B73" t="s">
        <v>34</v>
      </c>
      <c r="C73" t="s">
        <v>19</v>
      </c>
      <c r="D73" s="4">
        <v>861</v>
      </c>
      <c r="E73" s="5">
        <v>195</v>
      </c>
    </row>
    <row r="74" spans="1:5" x14ac:dyDescent="0.3">
      <c r="A74" t="s">
        <v>10</v>
      </c>
      <c r="B74" t="s">
        <v>38</v>
      </c>
      <c r="C74" t="s">
        <v>14</v>
      </c>
      <c r="D74" s="4">
        <v>5586</v>
      </c>
      <c r="E74" s="5">
        <v>525</v>
      </c>
    </row>
    <row r="75" spans="1:5" x14ac:dyDescent="0.3">
      <c r="A75" t="s">
        <v>7</v>
      </c>
      <c r="B75" t="s">
        <v>34</v>
      </c>
      <c r="C75" t="s">
        <v>33</v>
      </c>
      <c r="D75" s="4">
        <v>2226</v>
      </c>
      <c r="E75" s="5">
        <v>48</v>
      </c>
    </row>
    <row r="76" spans="1:5" x14ac:dyDescent="0.3">
      <c r="A76" t="s">
        <v>9</v>
      </c>
      <c r="B76" t="s">
        <v>34</v>
      </c>
      <c r="C76" t="s">
        <v>28</v>
      </c>
      <c r="D76" s="4">
        <v>14329</v>
      </c>
      <c r="E76" s="5">
        <v>150</v>
      </c>
    </row>
    <row r="77" spans="1:5" x14ac:dyDescent="0.3">
      <c r="A77" t="s">
        <v>9</v>
      </c>
      <c r="B77" t="s">
        <v>34</v>
      </c>
      <c r="C77" t="s">
        <v>20</v>
      </c>
      <c r="D77" s="4">
        <v>8463</v>
      </c>
      <c r="E77" s="5">
        <v>492</v>
      </c>
    </row>
    <row r="78" spans="1:5" x14ac:dyDescent="0.3">
      <c r="A78" t="s">
        <v>5</v>
      </c>
      <c r="B78" t="s">
        <v>34</v>
      </c>
      <c r="C78" t="s">
        <v>29</v>
      </c>
      <c r="D78" s="4">
        <v>2891</v>
      </c>
      <c r="E78" s="5">
        <v>102</v>
      </c>
    </row>
    <row r="79" spans="1:5" x14ac:dyDescent="0.3">
      <c r="A79" t="s">
        <v>3</v>
      </c>
      <c r="B79" t="s">
        <v>36</v>
      </c>
      <c r="C79" t="s">
        <v>23</v>
      </c>
      <c r="D79" s="4">
        <v>3773</v>
      </c>
      <c r="E79" s="5">
        <v>165</v>
      </c>
    </row>
    <row r="80" spans="1:5" x14ac:dyDescent="0.3">
      <c r="A80" t="s">
        <v>41</v>
      </c>
      <c r="B80" t="s">
        <v>36</v>
      </c>
      <c r="C80" t="s">
        <v>28</v>
      </c>
      <c r="D80" s="4">
        <v>854</v>
      </c>
      <c r="E80" s="5">
        <v>309</v>
      </c>
    </row>
    <row r="81" spans="1:5" x14ac:dyDescent="0.3">
      <c r="A81" t="s">
        <v>6</v>
      </c>
      <c r="B81" t="s">
        <v>36</v>
      </c>
      <c r="C81" t="s">
        <v>17</v>
      </c>
      <c r="D81" s="4">
        <v>4970</v>
      </c>
      <c r="E81" s="5">
        <v>156</v>
      </c>
    </row>
    <row r="82" spans="1:5" x14ac:dyDescent="0.3">
      <c r="A82" t="s">
        <v>9</v>
      </c>
      <c r="B82" t="s">
        <v>35</v>
      </c>
      <c r="C82" t="s">
        <v>26</v>
      </c>
      <c r="D82" s="4">
        <v>98</v>
      </c>
      <c r="E82" s="5">
        <v>159</v>
      </c>
    </row>
    <row r="83" spans="1:5" x14ac:dyDescent="0.3">
      <c r="A83" t="s">
        <v>5</v>
      </c>
      <c r="B83" t="s">
        <v>35</v>
      </c>
      <c r="C83" t="s">
        <v>15</v>
      </c>
      <c r="D83" s="4">
        <v>13391</v>
      </c>
      <c r="E83" s="5">
        <v>201</v>
      </c>
    </row>
    <row r="84" spans="1:5" x14ac:dyDescent="0.3">
      <c r="A84" t="s">
        <v>8</v>
      </c>
      <c r="B84" t="s">
        <v>39</v>
      </c>
      <c r="C84" t="s">
        <v>31</v>
      </c>
      <c r="D84" s="4">
        <v>8890</v>
      </c>
      <c r="E84" s="5">
        <v>210</v>
      </c>
    </row>
    <row r="85" spans="1:5" x14ac:dyDescent="0.3">
      <c r="A85" t="s">
        <v>2</v>
      </c>
      <c r="B85" t="s">
        <v>38</v>
      </c>
      <c r="C85" t="s">
        <v>13</v>
      </c>
      <c r="D85" s="4">
        <v>56</v>
      </c>
      <c r="E85" s="5">
        <v>51</v>
      </c>
    </row>
    <row r="86" spans="1:5" x14ac:dyDescent="0.3">
      <c r="A86" t="s">
        <v>3</v>
      </c>
      <c r="B86" t="s">
        <v>36</v>
      </c>
      <c r="C86" t="s">
        <v>25</v>
      </c>
      <c r="D86" s="4">
        <v>3339</v>
      </c>
      <c r="E86" s="5">
        <v>39</v>
      </c>
    </row>
    <row r="87" spans="1:5" x14ac:dyDescent="0.3">
      <c r="A87" t="s">
        <v>10</v>
      </c>
      <c r="B87" t="s">
        <v>35</v>
      </c>
      <c r="C87" t="s">
        <v>18</v>
      </c>
      <c r="D87" s="4">
        <v>3808</v>
      </c>
      <c r="E87" s="5">
        <v>279</v>
      </c>
    </row>
    <row r="88" spans="1:5" x14ac:dyDescent="0.3">
      <c r="A88" t="s">
        <v>10</v>
      </c>
      <c r="B88" t="s">
        <v>38</v>
      </c>
      <c r="C88" t="s">
        <v>13</v>
      </c>
      <c r="D88" s="4">
        <v>63</v>
      </c>
      <c r="E88" s="5">
        <v>123</v>
      </c>
    </row>
    <row r="89" spans="1:5" x14ac:dyDescent="0.3">
      <c r="A89" t="s">
        <v>2</v>
      </c>
      <c r="B89" t="s">
        <v>39</v>
      </c>
      <c r="C89" t="s">
        <v>27</v>
      </c>
      <c r="D89" s="4">
        <v>7812</v>
      </c>
      <c r="E89" s="5">
        <v>81</v>
      </c>
    </row>
    <row r="90" spans="1:5" x14ac:dyDescent="0.3">
      <c r="A90" t="s">
        <v>40</v>
      </c>
      <c r="B90" t="s">
        <v>37</v>
      </c>
      <c r="C90" t="s">
        <v>19</v>
      </c>
      <c r="D90" s="4">
        <v>7693</v>
      </c>
      <c r="E90" s="5">
        <v>21</v>
      </c>
    </row>
    <row r="91" spans="1:5" x14ac:dyDescent="0.3">
      <c r="A91" t="s">
        <v>3</v>
      </c>
      <c r="B91" t="s">
        <v>36</v>
      </c>
      <c r="C91" t="s">
        <v>28</v>
      </c>
      <c r="D91" s="4">
        <v>973</v>
      </c>
      <c r="E91" s="5">
        <v>162</v>
      </c>
    </row>
    <row r="92" spans="1:5" x14ac:dyDescent="0.3">
      <c r="A92" t="s">
        <v>10</v>
      </c>
      <c r="B92" t="s">
        <v>35</v>
      </c>
      <c r="C92" t="s">
        <v>21</v>
      </c>
      <c r="D92" s="4">
        <v>567</v>
      </c>
      <c r="E92" s="5">
        <v>228</v>
      </c>
    </row>
    <row r="93" spans="1:5" x14ac:dyDescent="0.3">
      <c r="A93" t="s">
        <v>10</v>
      </c>
      <c r="B93" t="s">
        <v>36</v>
      </c>
      <c r="C93" t="s">
        <v>29</v>
      </c>
      <c r="D93" s="4">
        <v>2471</v>
      </c>
      <c r="E93" s="5">
        <v>342</v>
      </c>
    </row>
    <row r="94" spans="1:5" x14ac:dyDescent="0.3">
      <c r="A94" t="s">
        <v>5</v>
      </c>
      <c r="B94" t="s">
        <v>38</v>
      </c>
      <c r="C94" t="s">
        <v>13</v>
      </c>
      <c r="D94" s="4">
        <v>7189</v>
      </c>
      <c r="E94" s="5">
        <v>54</v>
      </c>
    </row>
    <row r="95" spans="1:5" x14ac:dyDescent="0.3">
      <c r="A95" t="s">
        <v>41</v>
      </c>
      <c r="B95" t="s">
        <v>35</v>
      </c>
      <c r="C95" t="s">
        <v>28</v>
      </c>
      <c r="D95" s="4">
        <v>7455</v>
      </c>
      <c r="E95" s="5">
        <v>216</v>
      </c>
    </row>
    <row r="96" spans="1:5" x14ac:dyDescent="0.3">
      <c r="A96" t="s">
        <v>3</v>
      </c>
      <c r="B96" t="s">
        <v>34</v>
      </c>
      <c r="C96" t="s">
        <v>26</v>
      </c>
      <c r="D96" s="4">
        <v>3108</v>
      </c>
      <c r="E96" s="5">
        <v>54</v>
      </c>
    </row>
    <row r="97" spans="1:5" x14ac:dyDescent="0.3">
      <c r="A97" t="s">
        <v>6</v>
      </c>
      <c r="B97" t="s">
        <v>38</v>
      </c>
      <c r="C97" t="s">
        <v>25</v>
      </c>
      <c r="D97" s="4">
        <v>469</v>
      </c>
      <c r="E97" s="5">
        <v>75</v>
      </c>
    </row>
    <row r="98" spans="1:5" x14ac:dyDescent="0.3">
      <c r="A98" t="s">
        <v>9</v>
      </c>
      <c r="B98" t="s">
        <v>37</v>
      </c>
      <c r="C98" t="s">
        <v>23</v>
      </c>
      <c r="D98" s="4">
        <v>2737</v>
      </c>
      <c r="E98" s="5">
        <v>93</v>
      </c>
    </row>
    <row r="99" spans="1:5" x14ac:dyDescent="0.3">
      <c r="A99" t="s">
        <v>9</v>
      </c>
      <c r="B99" t="s">
        <v>37</v>
      </c>
      <c r="C99" t="s">
        <v>25</v>
      </c>
      <c r="D99" s="4">
        <v>4305</v>
      </c>
      <c r="E99" s="5">
        <v>156</v>
      </c>
    </row>
    <row r="100" spans="1:5" x14ac:dyDescent="0.3">
      <c r="A100" t="s">
        <v>9</v>
      </c>
      <c r="B100" t="s">
        <v>38</v>
      </c>
      <c r="C100" t="s">
        <v>17</v>
      </c>
      <c r="D100" s="4">
        <v>2408</v>
      </c>
      <c r="E100" s="5">
        <v>9</v>
      </c>
    </row>
    <row r="101" spans="1:5" x14ac:dyDescent="0.3">
      <c r="A101" t="s">
        <v>3</v>
      </c>
      <c r="B101" t="s">
        <v>36</v>
      </c>
      <c r="C101" t="s">
        <v>19</v>
      </c>
      <c r="D101" s="4">
        <v>1281</v>
      </c>
      <c r="E101" s="5">
        <v>18</v>
      </c>
    </row>
    <row r="102" spans="1:5" x14ac:dyDescent="0.3">
      <c r="A102" t="s">
        <v>40</v>
      </c>
      <c r="B102" t="s">
        <v>35</v>
      </c>
      <c r="C102" t="s">
        <v>32</v>
      </c>
      <c r="D102" s="4">
        <v>12348</v>
      </c>
      <c r="E102" s="5">
        <v>234</v>
      </c>
    </row>
    <row r="103" spans="1:5" x14ac:dyDescent="0.3">
      <c r="A103" t="s">
        <v>3</v>
      </c>
      <c r="B103" t="s">
        <v>34</v>
      </c>
      <c r="C103" t="s">
        <v>28</v>
      </c>
      <c r="D103" s="4">
        <v>3689</v>
      </c>
      <c r="E103" s="5">
        <v>312</v>
      </c>
    </row>
    <row r="104" spans="1:5" x14ac:dyDescent="0.3">
      <c r="A104" t="s">
        <v>7</v>
      </c>
      <c r="B104" t="s">
        <v>36</v>
      </c>
      <c r="C104" t="s">
        <v>19</v>
      </c>
      <c r="D104" s="4">
        <v>2870</v>
      </c>
      <c r="E104" s="5">
        <v>300</v>
      </c>
    </row>
    <row r="105" spans="1:5" x14ac:dyDescent="0.3">
      <c r="A105" t="s">
        <v>2</v>
      </c>
      <c r="B105" t="s">
        <v>36</v>
      </c>
      <c r="C105" t="s">
        <v>27</v>
      </c>
      <c r="D105" s="4">
        <v>798</v>
      </c>
      <c r="E105" s="5">
        <v>519</v>
      </c>
    </row>
    <row r="106" spans="1:5" x14ac:dyDescent="0.3">
      <c r="A106" t="s">
        <v>41</v>
      </c>
      <c r="B106" t="s">
        <v>37</v>
      </c>
      <c r="C106" t="s">
        <v>21</v>
      </c>
      <c r="D106" s="4">
        <v>2933</v>
      </c>
      <c r="E106" s="5">
        <v>9</v>
      </c>
    </row>
    <row r="107" spans="1:5" x14ac:dyDescent="0.3">
      <c r="A107" t="s">
        <v>5</v>
      </c>
      <c r="B107" t="s">
        <v>35</v>
      </c>
      <c r="C107" t="s">
        <v>4</v>
      </c>
      <c r="D107" s="4">
        <v>2744</v>
      </c>
      <c r="E107" s="5">
        <v>9</v>
      </c>
    </row>
    <row r="108" spans="1:5" x14ac:dyDescent="0.3">
      <c r="A108" t="s">
        <v>40</v>
      </c>
      <c r="B108" t="s">
        <v>36</v>
      </c>
      <c r="C108" t="s">
        <v>33</v>
      </c>
      <c r="D108" s="4">
        <v>9772</v>
      </c>
      <c r="E108" s="5">
        <v>90</v>
      </c>
    </row>
    <row r="109" spans="1:5" x14ac:dyDescent="0.3">
      <c r="A109" t="s">
        <v>7</v>
      </c>
      <c r="B109" t="s">
        <v>34</v>
      </c>
      <c r="C109" t="s">
        <v>25</v>
      </c>
      <c r="D109" s="4">
        <v>1568</v>
      </c>
      <c r="E109" s="5">
        <v>96</v>
      </c>
    </row>
    <row r="110" spans="1:5" x14ac:dyDescent="0.3">
      <c r="A110" t="s">
        <v>2</v>
      </c>
      <c r="B110" t="s">
        <v>36</v>
      </c>
      <c r="C110" t="s">
        <v>16</v>
      </c>
      <c r="D110" s="4">
        <v>11417</v>
      </c>
      <c r="E110" s="5">
        <v>21</v>
      </c>
    </row>
    <row r="111" spans="1:5" x14ac:dyDescent="0.3">
      <c r="A111" t="s">
        <v>40</v>
      </c>
      <c r="B111" t="s">
        <v>34</v>
      </c>
      <c r="C111" t="s">
        <v>26</v>
      </c>
      <c r="D111" s="4">
        <v>6748</v>
      </c>
      <c r="E111" s="5">
        <v>48</v>
      </c>
    </row>
    <row r="112" spans="1:5" x14ac:dyDescent="0.3">
      <c r="A112" t="s">
        <v>10</v>
      </c>
      <c r="B112" t="s">
        <v>36</v>
      </c>
      <c r="C112" t="s">
        <v>27</v>
      </c>
      <c r="D112" s="4">
        <v>1407</v>
      </c>
      <c r="E112" s="5">
        <v>72</v>
      </c>
    </row>
    <row r="113" spans="1:5" x14ac:dyDescent="0.3">
      <c r="A113" t="s">
        <v>8</v>
      </c>
      <c r="B113" t="s">
        <v>35</v>
      </c>
      <c r="C113" t="s">
        <v>29</v>
      </c>
      <c r="D113" s="4">
        <v>2023</v>
      </c>
      <c r="E113" s="5">
        <v>168</v>
      </c>
    </row>
    <row r="114" spans="1:5" x14ac:dyDescent="0.3">
      <c r="A114" t="s">
        <v>5</v>
      </c>
      <c r="B114" t="s">
        <v>39</v>
      </c>
      <c r="C114" t="s">
        <v>26</v>
      </c>
      <c r="D114" s="4">
        <v>5236</v>
      </c>
      <c r="E114" s="5">
        <v>51</v>
      </c>
    </row>
    <row r="115" spans="1:5" x14ac:dyDescent="0.3">
      <c r="A115" t="s">
        <v>41</v>
      </c>
      <c r="B115" t="s">
        <v>36</v>
      </c>
      <c r="C115" t="s">
        <v>19</v>
      </c>
      <c r="D115" s="4">
        <v>1925</v>
      </c>
      <c r="E115" s="5">
        <v>192</v>
      </c>
    </row>
    <row r="116" spans="1:5" x14ac:dyDescent="0.3">
      <c r="A116" t="s">
        <v>7</v>
      </c>
      <c r="B116" t="s">
        <v>37</v>
      </c>
      <c r="C116" t="s">
        <v>14</v>
      </c>
      <c r="D116" s="4">
        <v>6608</v>
      </c>
      <c r="E116" s="5">
        <v>225</v>
      </c>
    </row>
    <row r="117" spans="1:5" x14ac:dyDescent="0.3">
      <c r="A117" t="s">
        <v>6</v>
      </c>
      <c r="B117" t="s">
        <v>34</v>
      </c>
      <c r="C117" t="s">
        <v>26</v>
      </c>
      <c r="D117" s="4">
        <v>8008</v>
      </c>
      <c r="E117" s="5">
        <v>456</v>
      </c>
    </row>
    <row r="118" spans="1:5" x14ac:dyDescent="0.3">
      <c r="A118" t="s">
        <v>10</v>
      </c>
      <c r="B118" t="s">
        <v>34</v>
      </c>
      <c r="C118" t="s">
        <v>25</v>
      </c>
      <c r="D118" s="4">
        <v>1428</v>
      </c>
      <c r="E118" s="5">
        <v>93</v>
      </c>
    </row>
    <row r="119" spans="1:5" x14ac:dyDescent="0.3">
      <c r="A119" t="s">
        <v>6</v>
      </c>
      <c r="B119" t="s">
        <v>34</v>
      </c>
      <c r="C119" t="s">
        <v>4</v>
      </c>
      <c r="D119" s="4">
        <v>525</v>
      </c>
      <c r="E119" s="5">
        <v>48</v>
      </c>
    </row>
    <row r="120" spans="1:5" x14ac:dyDescent="0.3">
      <c r="A120" t="s">
        <v>6</v>
      </c>
      <c r="B120" t="s">
        <v>37</v>
      </c>
      <c r="C120" t="s">
        <v>18</v>
      </c>
      <c r="D120" s="4">
        <v>1505</v>
      </c>
      <c r="E120" s="5">
        <v>102</v>
      </c>
    </row>
    <row r="121" spans="1:5" x14ac:dyDescent="0.3">
      <c r="A121" t="s">
        <v>7</v>
      </c>
      <c r="B121" t="s">
        <v>35</v>
      </c>
      <c r="C121" t="s">
        <v>30</v>
      </c>
      <c r="D121" s="4">
        <v>6755</v>
      </c>
      <c r="E121" s="5">
        <v>252</v>
      </c>
    </row>
    <row r="122" spans="1:5" x14ac:dyDescent="0.3">
      <c r="A122" t="s">
        <v>2</v>
      </c>
      <c r="B122" t="s">
        <v>37</v>
      </c>
      <c r="C122" t="s">
        <v>18</v>
      </c>
      <c r="D122" s="4">
        <v>11571</v>
      </c>
      <c r="E122" s="5">
        <v>138</v>
      </c>
    </row>
    <row r="123" spans="1:5" x14ac:dyDescent="0.3">
      <c r="A123" t="s">
        <v>40</v>
      </c>
      <c r="B123" t="s">
        <v>38</v>
      </c>
      <c r="C123" t="s">
        <v>25</v>
      </c>
      <c r="D123" s="4">
        <v>2541</v>
      </c>
      <c r="E123" s="5">
        <v>90</v>
      </c>
    </row>
    <row r="124" spans="1:5" x14ac:dyDescent="0.3">
      <c r="A124" t="s">
        <v>41</v>
      </c>
      <c r="B124" t="s">
        <v>37</v>
      </c>
      <c r="C124" t="s">
        <v>30</v>
      </c>
      <c r="D124" s="4">
        <v>1526</v>
      </c>
      <c r="E124" s="5">
        <v>240</v>
      </c>
    </row>
    <row r="125" spans="1:5" x14ac:dyDescent="0.3">
      <c r="A125" t="s">
        <v>40</v>
      </c>
      <c r="B125" t="s">
        <v>38</v>
      </c>
      <c r="C125" t="s">
        <v>4</v>
      </c>
      <c r="D125" s="4">
        <v>6125</v>
      </c>
      <c r="E125" s="5">
        <v>102</v>
      </c>
    </row>
    <row r="126" spans="1:5" x14ac:dyDescent="0.3">
      <c r="A126" t="s">
        <v>41</v>
      </c>
      <c r="B126" t="s">
        <v>35</v>
      </c>
      <c r="C126" t="s">
        <v>27</v>
      </c>
      <c r="D126" s="4">
        <v>847</v>
      </c>
      <c r="E126" s="5">
        <v>129</v>
      </c>
    </row>
    <row r="127" spans="1:5" x14ac:dyDescent="0.3">
      <c r="A127" t="s">
        <v>8</v>
      </c>
      <c r="B127" t="s">
        <v>35</v>
      </c>
      <c r="C127" t="s">
        <v>27</v>
      </c>
      <c r="D127" s="4">
        <v>4753</v>
      </c>
      <c r="E127" s="5">
        <v>300</v>
      </c>
    </row>
    <row r="128" spans="1:5" x14ac:dyDescent="0.3">
      <c r="A128" t="s">
        <v>6</v>
      </c>
      <c r="B128" t="s">
        <v>38</v>
      </c>
      <c r="C128" t="s">
        <v>33</v>
      </c>
      <c r="D128" s="4">
        <v>959</v>
      </c>
      <c r="E128" s="5">
        <v>135</v>
      </c>
    </row>
    <row r="129" spans="1:5" x14ac:dyDescent="0.3">
      <c r="A129" t="s">
        <v>7</v>
      </c>
      <c r="B129" t="s">
        <v>35</v>
      </c>
      <c r="C129" t="s">
        <v>24</v>
      </c>
      <c r="D129" s="4">
        <v>2793</v>
      </c>
      <c r="E129" s="5">
        <v>114</v>
      </c>
    </row>
    <row r="130" spans="1:5" x14ac:dyDescent="0.3">
      <c r="A130" t="s">
        <v>7</v>
      </c>
      <c r="B130" t="s">
        <v>35</v>
      </c>
      <c r="C130" t="s">
        <v>14</v>
      </c>
      <c r="D130" s="4">
        <v>4606</v>
      </c>
      <c r="E130" s="5">
        <v>63</v>
      </c>
    </row>
    <row r="131" spans="1:5" x14ac:dyDescent="0.3">
      <c r="A131" t="s">
        <v>7</v>
      </c>
      <c r="B131" t="s">
        <v>36</v>
      </c>
      <c r="C131" t="s">
        <v>29</v>
      </c>
      <c r="D131" s="4">
        <v>5551</v>
      </c>
      <c r="E131" s="5">
        <v>252</v>
      </c>
    </row>
    <row r="132" spans="1:5" x14ac:dyDescent="0.3">
      <c r="A132" t="s">
        <v>10</v>
      </c>
      <c r="B132" t="s">
        <v>36</v>
      </c>
      <c r="C132" t="s">
        <v>32</v>
      </c>
      <c r="D132" s="4">
        <v>6657</v>
      </c>
      <c r="E132" s="5">
        <v>303</v>
      </c>
    </row>
    <row r="133" spans="1:5" x14ac:dyDescent="0.3">
      <c r="A133" t="s">
        <v>7</v>
      </c>
      <c r="B133" t="s">
        <v>39</v>
      </c>
      <c r="C133" t="s">
        <v>17</v>
      </c>
      <c r="D133" s="4">
        <v>4438</v>
      </c>
      <c r="E133" s="5">
        <v>246</v>
      </c>
    </row>
    <row r="134" spans="1:5" x14ac:dyDescent="0.3">
      <c r="A134" t="s">
        <v>8</v>
      </c>
      <c r="B134" t="s">
        <v>38</v>
      </c>
      <c r="C134" t="s">
        <v>22</v>
      </c>
      <c r="D134" s="4">
        <v>168</v>
      </c>
      <c r="E134" s="5">
        <v>84</v>
      </c>
    </row>
    <row r="135" spans="1:5" x14ac:dyDescent="0.3">
      <c r="A135" t="s">
        <v>7</v>
      </c>
      <c r="B135" t="s">
        <v>34</v>
      </c>
      <c r="C135" t="s">
        <v>17</v>
      </c>
      <c r="D135" s="4">
        <v>7777</v>
      </c>
      <c r="E135" s="5">
        <v>39</v>
      </c>
    </row>
    <row r="136" spans="1:5" x14ac:dyDescent="0.3">
      <c r="A136" t="s">
        <v>5</v>
      </c>
      <c r="B136" t="s">
        <v>36</v>
      </c>
      <c r="C136" t="s">
        <v>17</v>
      </c>
      <c r="D136" s="4">
        <v>3339</v>
      </c>
      <c r="E136" s="5">
        <v>348</v>
      </c>
    </row>
    <row r="137" spans="1:5" x14ac:dyDescent="0.3">
      <c r="A137" t="s">
        <v>7</v>
      </c>
      <c r="B137" t="s">
        <v>37</v>
      </c>
      <c r="C137" t="s">
        <v>33</v>
      </c>
      <c r="D137" s="4">
        <v>6391</v>
      </c>
      <c r="E137" s="5">
        <v>48</v>
      </c>
    </row>
    <row r="138" spans="1:5" x14ac:dyDescent="0.3">
      <c r="A138" t="s">
        <v>5</v>
      </c>
      <c r="B138" t="s">
        <v>37</v>
      </c>
      <c r="C138" t="s">
        <v>22</v>
      </c>
      <c r="D138" s="4">
        <v>518</v>
      </c>
      <c r="E138" s="5">
        <v>75</v>
      </c>
    </row>
    <row r="139" spans="1:5" x14ac:dyDescent="0.3">
      <c r="A139" t="s">
        <v>7</v>
      </c>
      <c r="B139" t="s">
        <v>38</v>
      </c>
      <c r="C139" t="s">
        <v>28</v>
      </c>
      <c r="D139" s="4">
        <v>5677</v>
      </c>
      <c r="E139" s="5">
        <v>258</v>
      </c>
    </row>
    <row r="140" spans="1:5" x14ac:dyDescent="0.3">
      <c r="A140" t="s">
        <v>6</v>
      </c>
      <c r="B140" t="s">
        <v>39</v>
      </c>
      <c r="C140" t="s">
        <v>17</v>
      </c>
      <c r="D140" s="4">
        <v>6048</v>
      </c>
      <c r="E140" s="5">
        <v>27</v>
      </c>
    </row>
    <row r="141" spans="1:5" x14ac:dyDescent="0.3">
      <c r="A141" t="s">
        <v>8</v>
      </c>
      <c r="B141" t="s">
        <v>38</v>
      </c>
      <c r="C141" t="s">
        <v>32</v>
      </c>
      <c r="D141" s="4">
        <v>3752</v>
      </c>
      <c r="E141" s="5">
        <v>213</v>
      </c>
    </row>
    <row r="142" spans="1:5" x14ac:dyDescent="0.3">
      <c r="A142" t="s">
        <v>5</v>
      </c>
      <c r="B142" t="s">
        <v>35</v>
      </c>
      <c r="C142" t="s">
        <v>29</v>
      </c>
      <c r="D142" s="4">
        <v>4480</v>
      </c>
      <c r="E142" s="5">
        <v>357</v>
      </c>
    </row>
    <row r="143" spans="1:5" x14ac:dyDescent="0.3">
      <c r="A143" t="s">
        <v>9</v>
      </c>
      <c r="B143" t="s">
        <v>37</v>
      </c>
      <c r="C143" t="s">
        <v>4</v>
      </c>
      <c r="D143" s="4">
        <v>259</v>
      </c>
      <c r="E143" s="5">
        <v>207</v>
      </c>
    </row>
    <row r="144" spans="1:5" x14ac:dyDescent="0.3">
      <c r="A144" t="s">
        <v>8</v>
      </c>
      <c r="B144" t="s">
        <v>37</v>
      </c>
      <c r="C144" t="s">
        <v>30</v>
      </c>
      <c r="D144" s="4">
        <v>42</v>
      </c>
      <c r="E144" s="5">
        <v>150</v>
      </c>
    </row>
    <row r="145" spans="1:5" x14ac:dyDescent="0.3">
      <c r="A145" t="s">
        <v>41</v>
      </c>
      <c r="B145" t="s">
        <v>36</v>
      </c>
      <c r="C145" t="s">
        <v>26</v>
      </c>
      <c r="D145" s="4">
        <v>98</v>
      </c>
      <c r="E145" s="5">
        <v>204</v>
      </c>
    </row>
    <row r="146" spans="1:5" x14ac:dyDescent="0.3">
      <c r="A146" t="s">
        <v>7</v>
      </c>
      <c r="B146" t="s">
        <v>35</v>
      </c>
      <c r="C146" t="s">
        <v>27</v>
      </c>
      <c r="D146" s="4">
        <v>2478</v>
      </c>
      <c r="E146" s="5">
        <v>21</v>
      </c>
    </row>
    <row r="147" spans="1:5" x14ac:dyDescent="0.3">
      <c r="A147" t="s">
        <v>41</v>
      </c>
      <c r="B147" t="s">
        <v>34</v>
      </c>
      <c r="C147" t="s">
        <v>33</v>
      </c>
      <c r="D147" s="4">
        <v>7847</v>
      </c>
      <c r="E147" s="5">
        <v>174</v>
      </c>
    </row>
    <row r="148" spans="1:5" x14ac:dyDescent="0.3">
      <c r="A148" t="s">
        <v>2</v>
      </c>
      <c r="B148" t="s">
        <v>37</v>
      </c>
      <c r="C148" t="s">
        <v>17</v>
      </c>
      <c r="D148" s="4">
        <v>9926</v>
      </c>
      <c r="E148" s="5">
        <v>201</v>
      </c>
    </row>
    <row r="149" spans="1:5" x14ac:dyDescent="0.3">
      <c r="A149" t="s">
        <v>8</v>
      </c>
      <c r="B149" t="s">
        <v>38</v>
      </c>
      <c r="C149" t="s">
        <v>13</v>
      </c>
      <c r="D149" s="4">
        <v>819</v>
      </c>
      <c r="E149" s="5">
        <v>510</v>
      </c>
    </row>
    <row r="150" spans="1:5" x14ac:dyDescent="0.3">
      <c r="A150" t="s">
        <v>6</v>
      </c>
      <c r="B150" t="s">
        <v>39</v>
      </c>
      <c r="C150" t="s">
        <v>29</v>
      </c>
      <c r="D150" s="4">
        <v>3052</v>
      </c>
      <c r="E150" s="5">
        <v>378</v>
      </c>
    </row>
    <row r="151" spans="1:5" x14ac:dyDescent="0.3">
      <c r="A151" t="s">
        <v>9</v>
      </c>
      <c r="B151" t="s">
        <v>34</v>
      </c>
      <c r="C151" t="s">
        <v>21</v>
      </c>
      <c r="D151" s="4">
        <v>6832</v>
      </c>
      <c r="E151" s="5">
        <v>27</v>
      </c>
    </row>
    <row r="152" spans="1:5" x14ac:dyDescent="0.3">
      <c r="A152" t="s">
        <v>2</v>
      </c>
      <c r="B152" t="s">
        <v>39</v>
      </c>
      <c r="C152" t="s">
        <v>16</v>
      </c>
      <c r="D152" s="4">
        <v>2016</v>
      </c>
      <c r="E152" s="5">
        <v>117</v>
      </c>
    </row>
    <row r="153" spans="1:5" x14ac:dyDescent="0.3">
      <c r="A153" t="s">
        <v>6</v>
      </c>
      <c r="B153" t="s">
        <v>38</v>
      </c>
      <c r="C153" t="s">
        <v>21</v>
      </c>
      <c r="D153" s="4">
        <v>7322</v>
      </c>
      <c r="E153" s="5">
        <v>36</v>
      </c>
    </row>
    <row r="154" spans="1:5" x14ac:dyDescent="0.3">
      <c r="A154" t="s">
        <v>8</v>
      </c>
      <c r="B154" t="s">
        <v>35</v>
      </c>
      <c r="C154" t="s">
        <v>33</v>
      </c>
      <c r="D154" s="4">
        <v>357</v>
      </c>
      <c r="E154" s="5">
        <v>126</v>
      </c>
    </row>
    <row r="155" spans="1:5" x14ac:dyDescent="0.3">
      <c r="A155" t="s">
        <v>9</v>
      </c>
      <c r="B155" t="s">
        <v>39</v>
      </c>
      <c r="C155" t="s">
        <v>25</v>
      </c>
      <c r="D155" s="4">
        <v>3192</v>
      </c>
      <c r="E155" s="5">
        <v>72</v>
      </c>
    </row>
    <row r="156" spans="1:5" x14ac:dyDescent="0.3">
      <c r="A156" t="s">
        <v>7</v>
      </c>
      <c r="B156" t="s">
        <v>36</v>
      </c>
      <c r="C156" t="s">
        <v>22</v>
      </c>
      <c r="D156" s="4">
        <v>8435</v>
      </c>
      <c r="E156" s="5">
        <v>42</v>
      </c>
    </row>
    <row r="157" spans="1:5" x14ac:dyDescent="0.3">
      <c r="A157" t="s">
        <v>40</v>
      </c>
      <c r="B157" t="s">
        <v>39</v>
      </c>
      <c r="C157" t="s">
        <v>29</v>
      </c>
      <c r="D157" s="4">
        <v>0</v>
      </c>
      <c r="E157" s="5">
        <v>135</v>
      </c>
    </row>
    <row r="158" spans="1:5" x14ac:dyDescent="0.3">
      <c r="A158" t="s">
        <v>7</v>
      </c>
      <c r="B158" t="s">
        <v>34</v>
      </c>
      <c r="C158" t="s">
        <v>24</v>
      </c>
      <c r="D158" s="4">
        <v>8862</v>
      </c>
      <c r="E158" s="5">
        <v>189</v>
      </c>
    </row>
    <row r="159" spans="1:5" x14ac:dyDescent="0.3">
      <c r="A159" t="s">
        <v>6</v>
      </c>
      <c r="B159" t="s">
        <v>37</v>
      </c>
      <c r="C159" t="s">
        <v>28</v>
      </c>
      <c r="D159" s="4">
        <v>3556</v>
      </c>
      <c r="E159" s="5">
        <v>459</v>
      </c>
    </row>
    <row r="160" spans="1:5" x14ac:dyDescent="0.3">
      <c r="A160" t="s">
        <v>5</v>
      </c>
      <c r="B160" t="s">
        <v>34</v>
      </c>
      <c r="C160" t="s">
        <v>15</v>
      </c>
      <c r="D160" s="4">
        <v>7280</v>
      </c>
      <c r="E160" s="5">
        <v>201</v>
      </c>
    </row>
    <row r="161" spans="1:5" x14ac:dyDescent="0.3">
      <c r="A161" t="s">
        <v>6</v>
      </c>
      <c r="B161" t="s">
        <v>34</v>
      </c>
      <c r="C161" t="s">
        <v>30</v>
      </c>
      <c r="D161" s="4">
        <v>3402</v>
      </c>
      <c r="E161" s="5">
        <v>366</v>
      </c>
    </row>
    <row r="162" spans="1:5" x14ac:dyDescent="0.3">
      <c r="A162" t="s">
        <v>3</v>
      </c>
      <c r="B162" t="s">
        <v>37</v>
      </c>
      <c r="C162" t="s">
        <v>29</v>
      </c>
      <c r="D162" s="4">
        <v>4592</v>
      </c>
      <c r="E162" s="5">
        <v>324</v>
      </c>
    </row>
    <row r="163" spans="1:5" x14ac:dyDescent="0.3">
      <c r="A163" t="s">
        <v>9</v>
      </c>
      <c r="B163" t="s">
        <v>35</v>
      </c>
      <c r="C163" t="s">
        <v>15</v>
      </c>
      <c r="D163" s="4">
        <v>7833</v>
      </c>
      <c r="E163" s="5">
        <v>243</v>
      </c>
    </row>
    <row r="164" spans="1:5" x14ac:dyDescent="0.3">
      <c r="A164" t="s">
        <v>2</v>
      </c>
      <c r="B164" t="s">
        <v>39</v>
      </c>
      <c r="C164" t="s">
        <v>21</v>
      </c>
      <c r="D164" s="4">
        <v>7651</v>
      </c>
      <c r="E164" s="5">
        <v>213</v>
      </c>
    </row>
    <row r="165" spans="1:5" x14ac:dyDescent="0.3">
      <c r="A165" t="s">
        <v>40</v>
      </c>
      <c r="B165" t="s">
        <v>35</v>
      </c>
      <c r="C165" t="s">
        <v>30</v>
      </c>
      <c r="D165" s="4">
        <v>2275</v>
      </c>
      <c r="E165" s="5">
        <v>447</v>
      </c>
    </row>
    <row r="166" spans="1:5" x14ac:dyDescent="0.3">
      <c r="A166" t="s">
        <v>40</v>
      </c>
      <c r="B166" t="s">
        <v>38</v>
      </c>
      <c r="C166" t="s">
        <v>13</v>
      </c>
      <c r="D166" s="4">
        <v>5670</v>
      </c>
      <c r="E166" s="5">
        <v>297</v>
      </c>
    </row>
    <row r="167" spans="1:5" x14ac:dyDescent="0.3">
      <c r="A167" t="s">
        <v>7</v>
      </c>
      <c r="B167" t="s">
        <v>35</v>
      </c>
      <c r="C167" t="s">
        <v>16</v>
      </c>
      <c r="D167" s="4">
        <v>2135</v>
      </c>
      <c r="E167" s="5">
        <v>27</v>
      </c>
    </row>
    <row r="168" spans="1:5" x14ac:dyDescent="0.3">
      <c r="A168" t="s">
        <v>40</v>
      </c>
      <c r="B168" t="s">
        <v>34</v>
      </c>
      <c r="C168" t="s">
        <v>23</v>
      </c>
      <c r="D168" s="4">
        <v>2779</v>
      </c>
      <c r="E168" s="5">
        <v>75</v>
      </c>
    </row>
    <row r="169" spans="1:5" x14ac:dyDescent="0.3">
      <c r="A169" t="s">
        <v>10</v>
      </c>
      <c r="B169" t="s">
        <v>39</v>
      </c>
      <c r="C169" t="s">
        <v>33</v>
      </c>
      <c r="D169" s="4">
        <v>12950</v>
      </c>
      <c r="E169" s="5">
        <v>30</v>
      </c>
    </row>
    <row r="170" spans="1:5" x14ac:dyDescent="0.3">
      <c r="A170" t="s">
        <v>7</v>
      </c>
      <c r="B170" t="s">
        <v>36</v>
      </c>
      <c r="C170" t="s">
        <v>18</v>
      </c>
      <c r="D170" s="4">
        <v>2646</v>
      </c>
      <c r="E170" s="5">
        <v>177</v>
      </c>
    </row>
    <row r="171" spans="1:5" x14ac:dyDescent="0.3">
      <c r="A171" t="s">
        <v>40</v>
      </c>
      <c r="B171" t="s">
        <v>34</v>
      </c>
      <c r="C171" t="s">
        <v>33</v>
      </c>
      <c r="D171" s="4">
        <v>3794</v>
      </c>
      <c r="E171" s="5">
        <v>159</v>
      </c>
    </row>
    <row r="172" spans="1:5" x14ac:dyDescent="0.3">
      <c r="A172" t="s">
        <v>3</v>
      </c>
      <c r="B172" t="s">
        <v>35</v>
      </c>
      <c r="C172" t="s">
        <v>33</v>
      </c>
      <c r="D172" s="4">
        <v>819</v>
      </c>
      <c r="E172" s="5">
        <v>306</v>
      </c>
    </row>
    <row r="173" spans="1:5" x14ac:dyDescent="0.3">
      <c r="A173" t="s">
        <v>3</v>
      </c>
      <c r="B173" t="s">
        <v>34</v>
      </c>
      <c r="C173" t="s">
        <v>20</v>
      </c>
      <c r="D173" s="4">
        <v>2583</v>
      </c>
      <c r="E173" s="5">
        <v>18</v>
      </c>
    </row>
    <row r="174" spans="1:5" x14ac:dyDescent="0.3">
      <c r="A174" t="s">
        <v>7</v>
      </c>
      <c r="B174" t="s">
        <v>35</v>
      </c>
      <c r="C174" t="s">
        <v>19</v>
      </c>
      <c r="D174" s="4">
        <v>4585</v>
      </c>
      <c r="E174" s="5">
        <v>240</v>
      </c>
    </row>
    <row r="175" spans="1:5" x14ac:dyDescent="0.3">
      <c r="A175" t="s">
        <v>5</v>
      </c>
      <c r="B175" t="s">
        <v>34</v>
      </c>
      <c r="C175" t="s">
        <v>33</v>
      </c>
      <c r="D175" s="4">
        <v>1652</v>
      </c>
      <c r="E175" s="5">
        <v>93</v>
      </c>
    </row>
    <row r="176" spans="1:5" x14ac:dyDescent="0.3">
      <c r="A176" t="s">
        <v>10</v>
      </c>
      <c r="B176" t="s">
        <v>34</v>
      </c>
      <c r="C176" t="s">
        <v>26</v>
      </c>
      <c r="D176" s="4">
        <v>4991</v>
      </c>
      <c r="E176" s="5">
        <v>9</v>
      </c>
    </row>
    <row r="177" spans="1:5" x14ac:dyDescent="0.3">
      <c r="A177" t="s">
        <v>8</v>
      </c>
      <c r="B177" t="s">
        <v>34</v>
      </c>
      <c r="C177" t="s">
        <v>16</v>
      </c>
      <c r="D177" s="4">
        <v>2009</v>
      </c>
      <c r="E177" s="5">
        <v>219</v>
      </c>
    </row>
    <row r="178" spans="1:5" x14ac:dyDescent="0.3">
      <c r="A178" t="s">
        <v>2</v>
      </c>
      <c r="B178" t="s">
        <v>39</v>
      </c>
      <c r="C178" t="s">
        <v>22</v>
      </c>
      <c r="D178" s="4">
        <v>1568</v>
      </c>
      <c r="E178" s="5">
        <v>141</v>
      </c>
    </row>
    <row r="179" spans="1:5" x14ac:dyDescent="0.3">
      <c r="A179" t="s">
        <v>41</v>
      </c>
      <c r="B179" t="s">
        <v>37</v>
      </c>
      <c r="C179" t="s">
        <v>20</v>
      </c>
      <c r="D179" s="4">
        <v>3388</v>
      </c>
      <c r="E179" s="5">
        <v>123</v>
      </c>
    </row>
    <row r="180" spans="1:5" x14ac:dyDescent="0.3">
      <c r="A180" t="s">
        <v>40</v>
      </c>
      <c r="B180" t="s">
        <v>38</v>
      </c>
      <c r="C180" t="s">
        <v>24</v>
      </c>
      <c r="D180" s="4">
        <v>623</v>
      </c>
      <c r="E180" s="5">
        <v>51</v>
      </c>
    </row>
    <row r="181" spans="1:5" x14ac:dyDescent="0.3">
      <c r="A181" t="s">
        <v>6</v>
      </c>
      <c r="B181" t="s">
        <v>36</v>
      </c>
      <c r="C181" t="s">
        <v>4</v>
      </c>
      <c r="D181" s="4">
        <v>10073</v>
      </c>
      <c r="E181" s="5">
        <v>120</v>
      </c>
    </row>
    <row r="182" spans="1:5" x14ac:dyDescent="0.3">
      <c r="A182" t="s">
        <v>8</v>
      </c>
      <c r="B182" t="s">
        <v>39</v>
      </c>
      <c r="C182" t="s">
        <v>26</v>
      </c>
      <c r="D182" s="4">
        <v>1561</v>
      </c>
      <c r="E182" s="5">
        <v>27</v>
      </c>
    </row>
    <row r="183" spans="1:5" x14ac:dyDescent="0.3">
      <c r="A183" t="s">
        <v>9</v>
      </c>
      <c r="B183" t="s">
        <v>36</v>
      </c>
      <c r="C183" t="s">
        <v>27</v>
      </c>
      <c r="D183" s="4">
        <v>11522</v>
      </c>
      <c r="E183" s="5">
        <v>204</v>
      </c>
    </row>
    <row r="184" spans="1:5" x14ac:dyDescent="0.3">
      <c r="A184" t="s">
        <v>6</v>
      </c>
      <c r="B184" t="s">
        <v>38</v>
      </c>
      <c r="C184" t="s">
        <v>13</v>
      </c>
      <c r="D184" s="4">
        <v>2317</v>
      </c>
      <c r="E184" s="5">
        <v>123</v>
      </c>
    </row>
    <row r="185" spans="1:5" x14ac:dyDescent="0.3">
      <c r="A185" t="s">
        <v>10</v>
      </c>
      <c r="B185" t="s">
        <v>37</v>
      </c>
      <c r="C185" t="s">
        <v>28</v>
      </c>
      <c r="D185" s="4">
        <v>3059</v>
      </c>
      <c r="E185" s="5">
        <v>27</v>
      </c>
    </row>
    <row r="186" spans="1:5" x14ac:dyDescent="0.3">
      <c r="A186" t="s">
        <v>41</v>
      </c>
      <c r="B186" t="s">
        <v>37</v>
      </c>
      <c r="C186" t="s">
        <v>26</v>
      </c>
      <c r="D186" s="4">
        <v>2324</v>
      </c>
      <c r="E186" s="5">
        <v>177</v>
      </c>
    </row>
    <row r="187" spans="1:5" x14ac:dyDescent="0.3">
      <c r="A187" t="s">
        <v>3</v>
      </c>
      <c r="B187" t="s">
        <v>39</v>
      </c>
      <c r="C187" t="s">
        <v>26</v>
      </c>
      <c r="D187" s="4">
        <v>4956</v>
      </c>
      <c r="E187" s="5">
        <v>171</v>
      </c>
    </row>
    <row r="188" spans="1:5" x14ac:dyDescent="0.3">
      <c r="A188" t="s">
        <v>10</v>
      </c>
      <c r="B188" t="s">
        <v>34</v>
      </c>
      <c r="C188" t="s">
        <v>19</v>
      </c>
      <c r="D188" s="4">
        <v>5355</v>
      </c>
      <c r="E188" s="5">
        <v>204</v>
      </c>
    </row>
    <row r="189" spans="1:5" x14ac:dyDescent="0.3">
      <c r="A189" t="s">
        <v>3</v>
      </c>
      <c r="B189" t="s">
        <v>34</v>
      </c>
      <c r="C189" t="s">
        <v>14</v>
      </c>
      <c r="D189" s="4">
        <v>7259</v>
      </c>
      <c r="E189" s="5">
        <v>276</v>
      </c>
    </row>
    <row r="190" spans="1:5" x14ac:dyDescent="0.3">
      <c r="A190" t="s">
        <v>8</v>
      </c>
      <c r="B190" t="s">
        <v>37</v>
      </c>
      <c r="C190" t="s">
        <v>26</v>
      </c>
      <c r="D190" s="4">
        <v>6279</v>
      </c>
      <c r="E190" s="5">
        <v>45</v>
      </c>
    </row>
    <row r="191" spans="1:5" x14ac:dyDescent="0.3">
      <c r="A191" t="s">
        <v>40</v>
      </c>
      <c r="B191" t="s">
        <v>38</v>
      </c>
      <c r="C191" t="s">
        <v>29</v>
      </c>
      <c r="D191" s="4">
        <v>2541</v>
      </c>
      <c r="E191" s="5">
        <v>45</v>
      </c>
    </row>
    <row r="192" spans="1:5" x14ac:dyDescent="0.3">
      <c r="A192" t="s">
        <v>6</v>
      </c>
      <c r="B192" t="s">
        <v>35</v>
      </c>
      <c r="C192" t="s">
        <v>27</v>
      </c>
      <c r="D192" s="4">
        <v>3864</v>
      </c>
      <c r="E192" s="5">
        <v>177</v>
      </c>
    </row>
    <row r="193" spans="1:5" x14ac:dyDescent="0.3">
      <c r="A193" t="s">
        <v>5</v>
      </c>
      <c r="B193" t="s">
        <v>36</v>
      </c>
      <c r="C193" t="s">
        <v>13</v>
      </c>
      <c r="D193" s="4">
        <v>6146</v>
      </c>
      <c r="E193" s="5">
        <v>63</v>
      </c>
    </row>
    <row r="194" spans="1:5" x14ac:dyDescent="0.3">
      <c r="A194" t="s">
        <v>9</v>
      </c>
      <c r="B194" t="s">
        <v>39</v>
      </c>
      <c r="C194" t="s">
        <v>18</v>
      </c>
      <c r="D194" s="4">
        <v>2639</v>
      </c>
      <c r="E194" s="5">
        <v>204</v>
      </c>
    </row>
    <row r="195" spans="1:5" x14ac:dyDescent="0.3">
      <c r="A195" t="s">
        <v>8</v>
      </c>
      <c r="B195" t="s">
        <v>37</v>
      </c>
      <c r="C195" t="s">
        <v>22</v>
      </c>
      <c r="D195" s="4">
        <v>1890</v>
      </c>
      <c r="E195" s="5">
        <v>195</v>
      </c>
    </row>
    <row r="196" spans="1:5" x14ac:dyDescent="0.3">
      <c r="A196" t="s">
        <v>7</v>
      </c>
      <c r="B196" t="s">
        <v>34</v>
      </c>
      <c r="C196" t="s">
        <v>14</v>
      </c>
      <c r="D196" s="4">
        <v>1932</v>
      </c>
      <c r="E196" s="5">
        <v>369</v>
      </c>
    </row>
    <row r="197" spans="1:5" x14ac:dyDescent="0.3">
      <c r="A197" t="s">
        <v>3</v>
      </c>
      <c r="B197" t="s">
        <v>34</v>
      </c>
      <c r="C197" t="s">
        <v>25</v>
      </c>
      <c r="D197" s="4">
        <v>6300</v>
      </c>
      <c r="E197" s="5">
        <v>42</v>
      </c>
    </row>
    <row r="198" spans="1:5" x14ac:dyDescent="0.3">
      <c r="A198" t="s">
        <v>6</v>
      </c>
      <c r="B198" t="s">
        <v>37</v>
      </c>
      <c r="C198" t="s">
        <v>30</v>
      </c>
      <c r="D198" s="4">
        <v>560</v>
      </c>
      <c r="E198" s="5">
        <v>81</v>
      </c>
    </row>
    <row r="199" spans="1:5" x14ac:dyDescent="0.3">
      <c r="A199" t="s">
        <v>9</v>
      </c>
      <c r="B199" t="s">
        <v>37</v>
      </c>
      <c r="C199" t="s">
        <v>26</v>
      </c>
      <c r="D199" s="4">
        <v>2856</v>
      </c>
      <c r="E199" s="5">
        <v>246</v>
      </c>
    </row>
    <row r="200" spans="1:5" x14ac:dyDescent="0.3">
      <c r="A200" t="s">
        <v>9</v>
      </c>
      <c r="B200" t="s">
        <v>34</v>
      </c>
      <c r="C200" t="s">
        <v>17</v>
      </c>
      <c r="D200" s="4">
        <v>707</v>
      </c>
      <c r="E200" s="5">
        <v>174</v>
      </c>
    </row>
    <row r="201" spans="1:5" x14ac:dyDescent="0.3">
      <c r="A201" t="s">
        <v>8</v>
      </c>
      <c r="B201" t="s">
        <v>35</v>
      </c>
      <c r="C201" t="s">
        <v>30</v>
      </c>
      <c r="D201" s="4">
        <v>3598</v>
      </c>
      <c r="E201" s="5">
        <v>81</v>
      </c>
    </row>
    <row r="202" spans="1:5" x14ac:dyDescent="0.3">
      <c r="A202" t="s">
        <v>40</v>
      </c>
      <c r="B202" t="s">
        <v>35</v>
      </c>
      <c r="C202" t="s">
        <v>22</v>
      </c>
      <c r="D202" s="4">
        <v>6853</v>
      </c>
      <c r="E202" s="5">
        <v>372</v>
      </c>
    </row>
    <row r="203" spans="1:5" x14ac:dyDescent="0.3">
      <c r="A203" t="s">
        <v>40</v>
      </c>
      <c r="B203" t="s">
        <v>35</v>
      </c>
      <c r="C203" t="s">
        <v>16</v>
      </c>
      <c r="D203" s="4">
        <v>4725</v>
      </c>
      <c r="E203" s="5">
        <v>174</v>
      </c>
    </row>
    <row r="204" spans="1:5" x14ac:dyDescent="0.3">
      <c r="A204" t="s">
        <v>41</v>
      </c>
      <c r="B204" t="s">
        <v>36</v>
      </c>
      <c r="C204" t="s">
        <v>32</v>
      </c>
      <c r="D204" s="4">
        <v>10304</v>
      </c>
      <c r="E204" s="5">
        <v>84</v>
      </c>
    </row>
    <row r="205" spans="1:5" x14ac:dyDescent="0.3">
      <c r="A205" t="s">
        <v>41</v>
      </c>
      <c r="B205" t="s">
        <v>34</v>
      </c>
      <c r="C205" t="s">
        <v>16</v>
      </c>
      <c r="D205" s="4">
        <v>1274</v>
      </c>
      <c r="E205" s="5">
        <v>225</v>
      </c>
    </row>
    <row r="206" spans="1:5" x14ac:dyDescent="0.3">
      <c r="A206" t="s">
        <v>5</v>
      </c>
      <c r="B206" t="s">
        <v>36</v>
      </c>
      <c r="C206" t="s">
        <v>30</v>
      </c>
      <c r="D206" s="4">
        <v>1526</v>
      </c>
      <c r="E206" s="5">
        <v>105</v>
      </c>
    </row>
    <row r="207" spans="1:5" x14ac:dyDescent="0.3">
      <c r="A207" t="s">
        <v>40</v>
      </c>
      <c r="B207" t="s">
        <v>39</v>
      </c>
      <c r="C207" t="s">
        <v>28</v>
      </c>
      <c r="D207" s="4">
        <v>3101</v>
      </c>
      <c r="E207" s="5">
        <v>225</v>
      </c>
    </row>
    <row r="208" spans="1:5" x14ac:dyDescent="0.3">
      <c r="A208" t="s">
        <v>2</v>
      </c>
      <c r="B208" t="s">
        <v>37</v>
      </c>
      <c r="C208" t="s">
        <v>14</v>
      </c>
      <c r="D208" s="4">
        <v>1057</v>
      </c>
      <c r="E208" s="5">
        <v>54</v>
      </c>
    </row>
    <row r="209" spans="1:5" x14ac:dyDescent="0.3">
      <c r="A209" t="s">
        <v>7</v>
      </c>
      <c r="B209" t="s">
        <v>37</v>
      </c>
      <c r="C209" t="s">
        <v>26</v>
      </c>
      <c r="D209" s="4">
        <v>5306</v>
      </c>
      <c r="E209" s="5">
        <v>0</v>
      </c>
    </row>
    <row r="210" spans="1:5" x14ac:dyDescent="0.3">
      <c r="A210" t="s">
        <v>5</v>
      </c>
      <c r="B210" t="s">
        <v>39</v>
      </c>
      <c r="C210" t="s">
        <v>24</v>
      </c>
      <c r="D210" s="4">
        <v>4018</v>
      </c>
      <c r="E210" s="5">
        <v>171</v>
      </c>
    </row>
    <row r="211" spans="1:5" x14ac:dyDescent="0.3">
      <c r="A211" t="s">
        <v>9</v>
      </c>
      <c r="B211" t="s">
        <v>34</v>
      </c>
      <c r="C211" t="s">
        <v>16</v>
      </c>
      <c r="D211" s="4">
        <v>938</v>
      </c>
      <c r="E211" s="5">
        <v>189</v>
      </c>
    </row>
    <row r="212" spans="1:5" x14ac:dyDescent="0.3">
      <c r="A212" t="s">
        <v>7</v>
      </c>
      <c r="B212" t="s">
        <v>38</v>
      </c>
      <c r="C212" t="s">
        <v>18</v>
      </c>
      <c r="D212" s="4">
        <v>1778</v>
      </c>
      <c r="E212" s="5">
        <v>270</v>
      </c>
    </row>
    <row r="213" spans="1:5" x14ac:dyDescent="0.3">
      <c r="A213" t="s">
        <v>6</v>
      </c>
      <c r="B213" t="s">
        <v>39</v>
      </c>
      <c r="C213" t="s">
        <v>30</v>
      </c>
      <c r="D213" s="4">
        <v>1638</v>
      </c>
      <c r="E213" s="5">
        <v>63</v>
      </c>
    </row>
    <row r="214" spans="1:5" x14ac:dyDescent="0.3">
      <c r="A214" t="s">
        <v>41</v>
      </c>
      <c r="B214" t="s">
        <v>38</v>
      </c>
      <c r="C214" t="s">
        <v>25</v>
      </c>
      <c r="D214" s="4">
        <v>154</v>
      </c>
      <c r="E214" s="5">
        <v>21</v>
      </c>
    </row>
    <row r="215" spans="1:5" x14ac:dyDescent="0.3">
      <c r="A215" t="s">
        <v>7</v>
      </c>
      <c r="B215" t="s">
        <v>37</v>
      </c>
      <c r="C215" t="s">
        <v>22</v>
      </c>
      <c r="D215" s="4">
        <v>9835</v>
      </c>
      <c r="E215" s="5">
        <v>207</v>
      </c>
    </row>
    <row r="216" spans="1:5" x14ac:dyDescent="0.3">
      <c r="A216" t="s">
        <v>9</v>
      </c>
      <c r="B216" t="s">
        <v>37</v>
      </c>
      <c r="C216" t="s">
        <v>20</v>
      </c>
      <c r="D216" s="4">
        <v>7273</v>
      </c>
      <c r="E216" s="5">
        <v>96</v>
      </c>
    </row>
    <row r="217" spans="1:5" x14ac:dyDescent="0.3">
      <c r="A217" t="s">
        <v>5</v>
      </c>
      <c r="B217" t="s">
        <v>39</v>
      </c>
      <c r="C217" t="s">
        <v>22</v>
      </c>
      <c r="D217" s="4">
        <v>6909</v>
      </c>
      <c r="E217" s="5">
        <v>81</v>
      </c>
    </row>
    <row r="218" spans="1:5" x14ac:dyDescent="0.3">
      <c r="A218" t="s">
        <v>9</v>
      </c>
      <c r="B218" t="s">
        <v>39</v>
      </c>
      <c r="C218" t="s">
        <v>24</v>
      </c>
      <c r="D218" s="4">
        <v>3920</v>
      </c>
      <c r="E218" s="5">
        <v>306</v>
      </c>
    </row>
    <row r="219" spans="1:5" x14ac:dyDescent="0.3">
      <c r="A219" t="s">
        <v>10</v>
      </c>
      <c r="B219" t="s">
        <v>39</v>
      </c>
      <c r="C219" t="s">
        <v>21</v>
      </c>
      <c r="D219" s="4">
        <v>4858</v>
      </c>
      <c r="E219" s="5">
        <v>279</v>
      </c>
    </row>
    <row r="220" spans="1:5" x14ac:dyDescent="0.3">
      <c r="A220" t="s">
        <v>2</v>
      </c>
      <c r="B220" t="s">
        <v>38</v>
      </c>
      <c r="C220" t="s">
        <v>4</v>
      </c>
      <c r="D220" s="4">
        <v>3549</v>
      </c>
      <c r="E220" s="5">
        <v>3</v>
      </c>
    </row>
    <row r="221" spans="1:5" x14ac:dyDescent="0.3">
      <c r="A221" t="s">
        <v>7</v>
      </c>
      <c r="B221" t="s">
        <v>39</v>
      </c>
      <c r="C221" t="s">
        <v>27</v>
      </c>
      <c r="D221" s="4">
        <v>966</v>
      </c>
      <c r="E221" s="5">
        <v>198</v>
      </c>
    </row>
    <row r="222" spans="1:5" x14ac:dyDescent="0.3">
      <c r="A222" t="s">
        <v>5</v>
      </c>
      <c r="B222" t="s">
        <v>39</v>
      </c>
      <c r="C222" t="s">
        <v>18</v>
      </c>
      <c r="D222" s="4">
        <v>385</v>
      </c>
      <c r="E222" s="5">
        <v>249</v>
      </c>
    </row>
    <row r="223" spans="1:5" x14ac:dyDescent="0.3">
      <c r="A223" t="s">
        <v>6</v>
      </c>
      <c r="B223" t="s">
        <v>34</v>
      </c>
      <c r="C223" t="s">
        <v>16</v>
      </c>
      <c r="D223" s="4">
        <v>2219</v>
      </c>
      <c r="E223" s="5">
        <v>75</v>
      </c>
    </row>
    <row r="224" spans="1:5" x14ac:dyDescent="0.3">
      <c r="A224" t="s">
        <v>9</v>
      </c>
      <c r="B224" t="s">
        <v>36</v>
      </c>
      <c r="C224" t="s">
        <v>32</v>
      </c>
      <c r="D224" s="4">
        <v>2954</v>
      </c>
      <c r="E224" s="5">
        <v>189</v>
      </c>
    </row>
    <row r="225" spans="1:5" x14ac:dyDescent="0.3">
      <c r="A225" t="s">
        <v>7</v>
      </c>
      <c r="B225" t="s">
        <v>36</v>
      </c>
      <c r="C225" t="s">
        <v>32</v>
      </c>
      <c r="D225" s="4">
        <v>280</v>
      </c>
      <c r="E225" s="5">
        <v>87</v>
      </c>
    </row>
    <row r="226" spans="1:5" x14ac:dyDescent="0.3">
      <c r="A226" t="s">
        <v>41</v>
      </c>
      <c r="B226" t="s">
        <v>36</v>
      </c>
      <c r="C226" t="s">
        <v>30</v>
      </c>
      <c r="D226" s="4">
        <v>6118</v>
      </c>
      <c r="E226" s="5">
        <v>174</v>
      </c>
    </row>
    <row r="227" spans="1:5" x14ac:dyDescent="0.3">
      <c r="A227" t="s">
        <v>2</v>
      </c>
      <c r="B227" t="s">
        <v>39</v>
      </c>
      <c r="C227" t="s">
        <v>15</v>
      </c>
      <c r="D227" s="4">
        <v>4802</v>
      </c>
      <c r="E227" s="5">
        <v>36</v>
      </c>
    </row>
    <row r="228" spans="1:5" x14ac:dyDescent="0.3">
      <c r="A228" t="s">
        <v>9</v>
      </c>
      <c r="B228" t="s">
        <v>38</v>
      </c>
      <c r="C228" t="s">
        <v>24</v>
      </c>
      <c r="D228" s="4">
        <v>4137</v>
      </c>
      <c r="E228" s="5">
        <v>60</v>
      </c>
    </row>
    <row r="229" spans="1:5" x14ac:dyDescent="0.3">
      <c r="A229" t="s">
        <v>3</v>
      </c>
      <c r="B229" t="s">
        <v>35</v>
      </c>
      <c r="C229" t="s">
        <v>23</v>
      </c>
      <c r="D229" s="4">
        <v>2023</v>
      </c>
      <c r="E229" s="5">
        <v>78</v>
      </c>
    </row>
    <row r="230" spans="1:5" x14ac:dyDescent="0.3">
      <c r="A230" t="s">
        <v>9</v>
      </c>
      <c r="B230" t="s">
        <v>36</v>
      </c>
      <c r="C230" t="s">
        <v>30</v>
      </c>
      <c r="D230" s="4">
        <v>9051</v>
      </c>
      <c r="E230" s="5">
        <v>57</v>
      </c>
    </row>
    <row r="231" spans="1:5" x14ac:dyDescent="0.3">
      <c r="A231" t="s">
        <v>9</v>
      </c>
      <c r="B231" t="s">
        <v>37</v>
      </c>
      <c r="C231" t="s">
        <v>28</v>
      </c>
      <c r="D231" s="4">
        <v>2919</v>
      </c>
      <c r="E231" s="5">
        <v>45</v>
      </c>
    </row>
    <row r="232" spans="1:5" x14ac:dyDescent="0.3">
      <c r="A232" t="s">
        <v>41</v>
      </c>
      <c r="B232" t="s">
        <v>38</v>
      </c>
      <c r="C232" t="s">
        <v>22</v>
      </c>
      <c r="D232" s="4">
        <v>5915</v>
      </c>
      <c r="E232" s="5">
        <v>3</v>
      </c>
    </row>
    <row r="233" spans="1:5" x14ac:dyDescent="0.3">
      <c r="A233" t="s">
        <v>10</v>
      </c>
      <c r="B233" t="s">
        <v>35</v>
      </c>
      <c r="C233" t="s">
        <v>15</v>
      </c>
      <c r="D233" s="4">
        <v>2562</v>
      </c>
      <c r="E233" s="5">
        <v>6</v>
      </c>
    </row>
    <row r="234" spans="1:5" x14ac:dyDescent="0.3">
      <c r="A234" t="s">
        <v>5</v>
      </c>
      <c r="B234" t="s">
        <v>37</v>
      </c>
      <c r="C234" t="s">
        <v>25</v>
      </c>
      <c r="D234" s="4">
        <v>8813</v>
      </c>
      <c r="E234" s="5">
        <v>21</v>
      </c>
    </row>
    <row r="235" spans="1:5" x14ac:dyDescent="0.3">
      <c r="A235" t="s">
        <v>5</v>
      </c>
      <c r="B235" t="s">
        <v>36</v>
      </c>
      <c r="C235" t="s">
        <v>18</v>
      </c>
      <c r="D235" s="4">
        <v>6111</v>
      </c>
      <c r="E235" s="5">
        <v>3</v>
      </c>
    </row>
    <row r="236" spans="1:5" x14ac:dyDescent="0.3">
      <c r="A236" t="s">
        <v>8</v>
      </c>
      <c r="B236" t="s">
        <v>34</v>
      </c>
      <c r="C236" t="s">
        <v>31</v>
      </c>
      <c r="D236" s="4">
        <v>3507</v>
      </c>
      <c r="E236" s="5">
        <v>288</v>
      </c>
    </row>
    <row r="237" spans="1:5" x14ac:dyDescent="0.3">
      <c r="A237" t="s">
        <v>6</v>
      </c>
      <c r="B237" t="s">
        <v>36</v>
      </c>
      <c r="C237" t="s">
        <v>13</v>
      </c>
      <c r="D237" s="4">
        <v>4319</v>
      </c>
      <c r="E237" s="5">
        <v>30</v>
      </c>
    </row>
    <row r="238" spans="1:5" x14ac:dyDescent="0.3">
      <c r="A238" t="s">
        <v>40</v>
      </c>
      <c r="B238" t="s">
        <v>38</v>
      </c>
      <c r="C238" t="s">
        <v>26</v>
      </c>
      <c r="D238" s="4">
        <v>609</v>
      </c>
      <c r="E238" s="5">
        <v>87</v>
      </c>
    </row>
    <row r="239" spans="1:5" x14ac:dyDescent="0.3">
      <c r="A239" t="s">
        <v>40</v>
      </c>
      <c r="B239" t="s">
        <v>39</v>
      </c>
      <c r="C239" t="s">
        <v>27</v>
      </c>
      <c r="D239" s="4">
        <v>6370</v>
      </c>
      <c r="E239" s="5">
        <v>30</v>
      </c>
    </row>
    <row r="240" spans="1:5" x14ac:dyDescent="0.3">
      <c r="A240" t="s">
        <v>5</v>
      </c>
      <c r="B240" t="s">
        <v>38</v>
      </c>
      <c r="C240" t="s">
        <v>19</v>
      </c>
      <c r="D240" s="4">
        <v>5474</v>
      </c>
      <c r="E240" s="5">
        <v>168</v>
      </c>
    </row>
    <row r="241" spans="1:5" x14ac:dyDescent="0.3">
      <c r="A241" t="s">
        <v>40</v>
      </c>
      <c r="B241" t="s">
        <v>36</v>
      </c>
      <c r="C241" t="s">
        <v>27</v>
      </c>
      <c r="D241" s="4">
        <v>3164</v>
      </c>
      <c r="E241" s="5">
        <v>306</v>
      </c>
    </row>
    <row r="242" spans="1:5" x14ac:dyDescent="0.3">
      <c r="A242" t="s">
        <v>6</v>
      </c>
      <c r="B242" t="s">
        <v>35</v>
      </c>
      <c r="C242" t="s">
        <v>4</v>
      </c>
      <c r="D242" s="4">
        <v>1302</v>
      </c>
      <c r="E242" s="5">
        <v>402</v>
      </c>
    </row>
    <row r="243" spans="1:5" x14ac:dyDescent="0.3">
      <c r="A243" t="s">
        <v>3</v>
      </c>
      <c r="B243" t="s">
        <v>37</v>
      </c>
      <c r="C243" t="s">
        <v>28</v>
      </c>
      <c r="D243" s="4">
        <v>7308</v>
      </c>
      <c r="E243" s="5">
        <v>327</v>
      </c>
    </row>
    <row r="244" spans="1:5" x14ac:dyDescent="0.3">
      <c r="A244" t="s">
        <v>40</v>
      </c>
      <c r="B244" t="s">
        <v>37</v>
      </c>
      <c r="C244" t="s">
        <v>27</v>
      </c>
      <c r="D244" s="4">
        <v>6132</v>
      </c>
      <c r="E244" s="5">
        <v>93</v>
      </c>
    </row>
    <row r="245" spans="1:5" x14ac:dyDescent="0.3">
      <c r="A245" t="s">
        <v>10</v>
      </c>
      <c r="B245" t="s">
        <v>35</v>
      </c>
      <c r="C245" t="s">
        <v>14</v>
      </c>
      <c r="D245" s="4">
        <v>3472</v>
      </c>
      <c r="E245" s="5">
        <v>96</v>
      </c>
    </row>
    <row r="246" spans="1:5" x14ac:dyDescent="0.3">
      <c r="A246" t="s">
        <v>8</v>
      </c>
      <c r="B246" t="s">
        <v>39</v>
      </c>
      <c r="C246" t="s">
        <v>18</v>
      </c>
      <c r="D246" s="4">
        <v>9660</v>
      </c>
      <c r="E246" s="5">
        <v>27</v>
      </c>
    </row>
    <row r="247" spans="1:5" x14ac:dyDescent="0.3">
      <c r="A247" t="s">
        <v>9</v>
      </c>
      <c r="B247" t="s">
        <v>38</v>
      </c>
      <c r="C247" t="s">
        <v>26</v>
      </c>
      <c r="D247" s="4">
        <v>2436</v>
      </c>
      <c r="E247" s="5">
        <v>99</v>
      </c>
    </row>
    <row r="248" spans="1:5" x14ac:dyDescent="0.3">
      <c r="A248" t="s">
        <v>9</v>
      </c>
      <c r="B248" t="s">
        <v>38</v>
      </c>
      <c r="C248" t="s">
        <v>33</v>
      </c>
      <c r="D248" s="4">
        <v>9506</v>
      </c>
      <c r="E248" s="5">
        <v>87</v>
      </c>
    </row>
    <row r="249" spans="1:5" x14ac:dyDescent="0.3">
      <c r="A249" t="s">
        <v>10</v>
      </c>
      <c r="B249" t="s">
        <v>37</v>
      </c>
      <c r="C249" t="s">
        <v>21</v>
      </c>
      <c r="D249" s="4">
        <v>245</v>
      </c>
      <c r="E249" s="5">
        <v>288</v>
      </c>
    </row>
    <row r="250" spans="1:5" x14ac:dyDescent="0.3">
      <c r="A250" t="s">
        <v>8</v>
      </c>
      <c r="B250" t="s">
        <v>35</v>
      </c>
      <c r="C250" t="s">
        <v>20</v>
      </c>
      <c r="D250" s="4">
        <v>2702</v>
      </c>
      <c r="E250" s="5">
        <v>363</v>
      </c>
    </row>
    <row r="251" spans="1:5" x14ac:dyDescent="0.3">
      <c r="A251" t="s">
        <v>10</v>
      </c>
      <c r="B251" t="s">
        <v>34</v>
      </c>
      <c r="C251" t="s">
        <v>17</v>
      </c>
      <c r="D251" s="4">
        <v>700</v>
      </c>
      <c r="E251" s="5">
        <v>87</v>
      </c>
    </row>
    <row r="252" spans="1:5" x14ac:dyDescent="0.3">
      <c r="A252" t="s">
        <v>6</v>
      </c>
      <c r="B252" t="s">
        <v>34</v>
      </c>
      <c r="C252" t="s">
        <v>17</v>
      </c>
      <c r="D252" s="4">
        <v>3759</v>
      </c>
      <c r="E252" s="5">
        <v>150</v>
      </c>
    </row>
    <row r="253" spans="1:5" x14ac:dyDescent="0.3">
      <c r="A253" t="s">
        <v>2</v>
      </c>
      <c r="B253" t="s">
        <v>35</v>
      </c>
      <c r="C253" t="s">
        <v>17</v>
      </c>
      <c r="D253" s="4">
        <v>1589</v>
      </c>
      <c r="E253" s="5">
        <v>303</v>
      </c>
    </row>
    <row r="254" spans="1:5" x14ac:dyDescent="0.3">
      <c r="A254" t="s">
        <v>7</v>
      </c>
      <c r="B254" t="s">
        <v>35</v>
      </c>
      <c r="C254" t="s">
        <v>28</v>
      </c>
      <c r="D254" s="4">
        <v>5194</v>
      </c>
      <c r="E254" s="5">
        <v>288</v>
      </c>
    </row>
    <row r="255" spans="1:5" x14ac:dyDescent="0.3">
      <c r="A255" t="s">
        <v>10</v>
      </c>
      <c r="B255" t="s">
        <v>36</v>
      </c>
      <c r="C255" t="s">
        <v>13</v>
      </c>
      <c r="D255" s="4">
        <v>945</v>
      </c>
      <c r="E255" s="5">
        <v>75</v>
      </c>
    </row>
    <row r="256" spans="1:5" x14ac:dyDescent="0.3">
      <c r="A256" t="s">
        <v>40</v>
      </c>
      <c r="B256" t="s">
        <v>38</v>
      </c>
      <c r="C256" t="s">
        <v>31</v>
      </c>
      <c r="D256" s="4">
        <v>1988</v>
      </c>
      <c r="E256" s="5">
        <v>39</v>
      </c>
    </row>
    <row r="257" spans="1:5" x14ac:dyDescent="0.3">
      <c r="A257" t="s">
        <v>6</v>
      </c>
      <c r="B257" t="s">
        <v>34</v>
      </c>
      <c r="C257" t="s">
        <v>32</v>
      </c>
      <c r="D257" s="4">
        <v>6734</v>
      </c>
      <c r="E257" s="5">
        <v>123</v>
      </c>
    </row>
    <row r="258" spans="1:5" x14ac:dyDescent="0.3">
      <c r="A258" t="s">
        <v>40</v>
      </c>
      <c r="B258" t="s">
        <v>36</v>
      </c>
      <c r="C258" t="s">
        <v>4</v>
      </c>
      <c r="D258" s="4">
        <v>217</v>
      </c>
      <c r="E258" s="5">
        <v>36</v>
      </c>
    </row>
    <row r="259" spans="1:5" x14ac:dyDescent="0.3">
      <c r="A259" t="s">
        <v>5</v>
      </c>
      <c r="B259" t="s">
        <v>34</v>
      </c>
      <c r="C259" t="s">
        <v>22</v>
      </c>
      <c r="D259" s="4">
        <v>6279</v>
      </c>
      <c r="E259" s="5">
        <v>237</v>
      </c>
    </row>
    <row r="260" spans="1:5" x14ac:dyDescent="0.3">
      <c r="A260" t="s">
        <v>40</v>
      </c>
      <c r="B260" t="s">
        <v>36</v>
      </c>
      <c r="C260" t="s">
        <v>13</v>
      </c>
      <c r="D260" s="4">
        <v>4424</v>
      </c>
      <c r="E260" s="5">
        <v>201</v>
      </c>
    </row>
    <row r="261" spans="1:5" x14ac:dyDescent="0.3">
      <c r="A261" t="s">
        <v>2</v>
      </c>
      <c r="B261" t="s">
        <v>36</v>
      </c>
      <c r="C261" t="s">
        <v>17</v>
      </c>
      <c r="D261" s="4">
        <v>189</v>
      </c>
      <c r="E261" s="5">
        <v>48</v>
      </c>
    </row>
    <row r="262" spans="1:5" x14ac:dyDescent="0.3">
      <c r="A262" t="s">
        <v>5</v>
      </c>
      <c r="B262" t="s">
        <v>35</v>
      </c>
      <c r="C262" t="s">
        <v>22</v>
      </c>
      <c r="D262" s="4">
        <v>490</v>
      </c>
      <c r="E262" s="5">
        <v>84</v>
      </c>
    </row>
    <row r="263" spans="1:5" x14ac:dyDescent="0.3">
      <c r="A263" t="s">
        <v>8</v>
      </c>
      <c r="B263" t="s">
        <v>37</v>
      </c>
      <c r="C263" t="s">
        <v>21</v>
      </c>
      <c r="D263" s="4">
        <v>434</v>
      </c>
      <c r="E263" s="5">
        <v>87</v>
      </c>
    </row>
    <row r="264" spans="1:5" x14ac:dyDescent="0.3">
      <c r="A264" t="s">
        <v>7</v>
      </c>
      <c r="B264" t="s">
        <v>38</v>
      </c>
      <c r="C264" t="s">
        <v>30</v>
      </c>
      <c r="D264" s="4">
        <v>10129</v>
      </c>
      <c r="E264" s="5">
        <v>312</v>
      </c>
    </row>
    <row r="265" spans="1:5" x14ac:dyDescent="0.3">
      <c r="A265" t="s">
        <v>3</v>
      </c>
      <c r="B265" t="s">
        <v>39</v>
      </c>
      <c r="C265" t="s">
        <v>28</v>
      </c>
      <c r="D265" s="4">
        <v>1652</v>
      </c>
      <c r="E265" s="5">
        <v>102</v>
      </c>
    </row>
    <row r="266" spans="1:5" x14ac:dyDescent="0.3">
      <c r="A266" t="s">
        <v>8</v>
      </c>
      <c r="B266" t="s">
        <v>38</v>
      </c>
      <c r="C266" t="s">
        <v>21</v>
      </c>
      <c r="D266" s="4">
        <v>6433</v>
      </c>
      <c r="E266" s="5">
        <v>78</v>
      </c>
    </row>
    <row r="267" spans="1:5" x14ac:dyDescent="0.3">
      <c r="A267" t="s">
        <v>3</v>
      </c>
      <c r="B267" t="s">
        <v>34</v>
      </c>
      <c r="C267" t="s">
        <v>23</v>
      </c>
      <c r="D267" s="4">
        <v>2212</v>
      </c>
      <c r="E267" s="5">
        <v>117</v>
      </c>
    </row>
    <row r="268" spans="1:5" x14ac:dyDescent="0.3">
      <c r="A268" t="s">
        <v>41</v>
      </c>
      <c r="B268" t="s">
        <v>35</v>
      </c>
      <c r="C268" t="s">
        <v>19</v>
      </c>
      <c r="D268" s="4">
        <v>609</v>
      </c>
      <c r="E268" s="5">
        <v>99</v>
      </c>
    </row>
    <row r="269" spans="1:5" x14ac:dyDescent="0.3">
      <c r="A269" t="s">
        <v>40</v>
      </c>
      <c r="B269" t="s">
        <v>35</v>
      </c>
      <c r="C269" t="s">
        <v>24</v>
      </c>
      <c r="D269" s="4">
        <v>1638</v>
      </c>
      <c r="E269" s="5">
        <v>48</v>
      </c>
    </row>
    <row r="270" spans="1:5" x14ac:dyDescent="0.3">
      <c r="A270" t="s">
        <v>7</v>
      </c>
      <c r="B270" t="s">
        <v>34</v>
      </c>
      <c r="C270" t="s">
        <v>15</v>
      </c>
      <c r="D270" s="4">
        <v>3829</v>
      </c>
      <c r="E270" s="5">
        <v>24</v>
      </c>
    </row>
    <row r="271" spans="1:5" x14ac:dyDescent="0.3">
      <c r="A271" t="s">
        <v>40</v>
      </c>
      <c r="B271" t="s">
        <v>39</v>
      </c>
      <c r="C271" t="s">
        <v>15</v>
      </c>
      <c r="D271" s="4">
        <v>5775</v>
      </c>
      <c r="E271" s="5">
        <v>42</v>
      </c>
    </row>
    <row r="272" spans="1:5" x14ac:dyDescent="0.3">
      <c r="A272" t="s">
        <v>6</v>
      </c>
      <c r="B272" t="s">
        <v>35</v>
      </c>
      <c r="C272" t="s">
        <v>20</v>
      </c>
      <c r="D272" s="4">
        <v>1071</v>
      </c>
      <c r="E272" s="5">
        <v>270</v>
      </c>
    </row>
    <row r="273" spans="1:5" x14ac:dyDescent="0.3">
      <c r="A273" t="s">
        <v>8</v>
      </c>
      <c r="B273" t="s">
        <v>36</v>
      </c>
      <c r="C273" t="s">
        <v>23</v>
      </c>
      <c r="D273" s="4">
        <v>5019</v>
      </c>
      <c r="E273" s="5">
        <v>150</v>
      </c>
    </row>
    <row r="274" spans="1:5" x14ac:dyDescent="0.3">
      <c r="A274" t="s">
        <v>2</v>
      </c>
      <c r="B274" t="s">
        <v>37</v>
      </c>
      <c r="C274" t="s">
        <v>15</v>
      </c>
      <c r="D274" s="4">
        <v>2863</v>
      </c>
      <c r="E274" s="5">
        <v>42</v>
      </c>
    </row>
    <row r="275" spans="1:5" x14ac:dyDescent="0.3">
      <c r="A275" t="s">
        <v>40</v>
      </c>
      <c r="B275" t="s">
        <v>35</v>
      </c>
      <c r="C275" t="s">
        <v>29</v>
      </c>
      <c r="D275" s="4">
        <v>1617</v>
      </c>
      <c r="E275" s="5">
        <v>126</v>
      </c>
    </row>
    <row r="276" spans="1:5" x14ac:dyDescent="0.3">
      <c r="A276" t="s">
        <v>6</v>
      </c>
      <c r="B276" t="s">
        <v>37</v>
      </c>
      <c r="C276" t="s">
        <v>26</v>
      </c>
      <c r="D276" s="4">
        <v>6818</v>
      </c>
      <c r="E276" s="5">
        <v>6</v>
      </c>
    </row>
    <row r="277" spans="1:5" x14ac:dyDescent="0.3">
      <c r="A277" t="s">
        <v>3</v>
      </c>
      <c r="B277" t="s">
        <v>35</v>
      </c>
      <c r="C277" t="s">
        <v>15</v>
      </c>
      <c r="D277" s="4">
        <v>6657</v>
      </c>
      <c r="E277" s="5">
        <v>276</v>
      </c>
    </row>
    <row r="278" spans="1:5" x14ac:dyDescent="0.3">
      <c r="A278" t="s">
        <v>3</v>
      </c>
      <c r="B278" t="s">
        <v>34</v>
      </c>
      <c r="C278" t="s">
        <v>17</v>
      </c>
      <c r="D278" s="4">
        <v>2919</v>
      </c>
      <c r="E278" s="5">
        <v>93</v>
      </c>
    </row>
    <row r="279" spans="1:5" x14ac:dyDescent="0.3">
      <c r="A279" t="s">
        <v>2</v>
      </c>
      <c r="B279" t="s">
        <v>36</v>
      </c>
      <c r="C279" t="s">
        <v>31</v>
      </c>
      <c r="D279" s="4">
        <v>3094</v>
      </c>
      <c r="E279" s="5">
        <v>246</v>
      </c>
    </row>
    <row r="280" spans="1:5" x14ac:dyDescent="0.3">
      <c r="A280" t="s">
        <v>6</v>
      </c>
      <c r="B280" t="s">
        <v>39</v>
      </c>
      <c r="C280" t="s">
        <v>24</v>
      </c>
      <c r="D280" s="4">
        <v>2989</v>
      </c>
      <c r="E280" s="5">
        <v>3</v>
      </c>
    </row>
    <row r="281" spans="1:5" x14ac:dyDescent="0.3">
      <c r="A281" t="s">
        <v>8</v>
      </c>
      <c r="B281" t="s">
        <v>38</v>
      </c>
      <c r="C281" t="s">
        <v>27</v>
      </c>
      <c r="D281" s="4">
        <v>2268</v>
      </c>
      <c r="E281" s="5">
        <v>63</v>
      </c>
    </row>
    <row r="282" spans="1:5" x14ac:dyDescent="0.3">
      <c r="A282" t="s">
        <v>5</v>
      </c>
      <c r="B282" t="s">
        <v>35</v>
      </c>
      <c r="C282" t="s">
        <v>31</v>
      </c>
      <c r="D282" s="4">
        <v>4753</v>
      </c>
      <c r="E282" s="5">
        <v>246</v>
      </c>
    </row>
    <row r="283" spans="1:5" x14ac:dyDescent="0.3">
      <c r="A283" t="s">
        <v>2</v>
      </c>
      <c r="B283" t="s">
        <v>34</v>
      </c>
      <c r="C283" t="s">
        <v>19</v>
      </c>
      <c r="D283" s="4">
        <v>7511</v>
      </c>
      <c r="E283" s="5">
        <v>120</v>
      </c>
    </row>
    <row r="284" spans="1:5" x14ac:dyDescent="0.3">
      <c r="A284" t="s">
        <v>2</v>
      </c>
      <c r="B284" t="s">
        <v>38</v>
      </c>
      <c r="C284" t="s">
        <v>31</v>
      </c>
      <c r="D284" s="4">
        <v>4326</v>
      </c>
      <c r="E284" s="5">
        <v>348</v>
      </c>
    </row>
    <row r="285" spans="1:5" x14ac:dyDescent="0.3">
      <c r="A285" t="s">
        <v>41</v>
      </c>
      <c r="B285" t="s">
        <v>34</v>
      </c>
      <c r="C285" t="s">
        <v>23</v>
      </c>
      <c r="D285" s="4">
        <v>4935</v>
      </c>
      <c r="E285" s="5">
        <v>126</v>
      </c>
    </row>
    <row r="286" spans="1:5" x14ac:dyDescent="0.3">
      <c r="A286" t="s">
        <v>6</v>
      </c>
      <c r="B286" t="s">
        <v>35</v>
      </c>
      <c r="C286" t="s">
        <v>30</v>
      </c>
      <c r="D286" s="4">
        <v>4781</v>
      </c>
      <c r="E286" s="5">
        <v>123</v>
      </c>
    </row>
    <row r="287" spans="1:5" x14ac:dyDescent="0.3">
      <c r="A287" t="s">
        <v>5</v>
      </c>
      <c r="B287" t="s">
        <v>38</v>
      </c>
      <c r="C287" t="s">
        <v>25</v>
      </c>
      <c r="D287" s="4">
        <v>7483</v>
      </c>
      <c r="E287" s="5">
        <v>45</v>
      </c>
    </row>
    <row r="288" spans="1:5" x14ac:dyDescent="0.3">
      <c r="A288" t="s">
        <v>10</v>
      </c>
      <c r="B288" t="s">
        <v>38</v>
      </c>
      <c r="C288" t="s">
        <v>4</v>
      </c>
      <c r="D288" s="4">
        <v>6860</v>
      </c>
      <c r="E288" s="5">
        <v>126</v>
      </c>
    </row>
    <row r="289" spans="1:5" x14ac:dyDescent="0.3">
      <c r="A289" t="s">
        <v>40</v>
      </c>
      <c r="B289" t="s">
        <v>37</v>
      </c>
      <c r="C289" t="s">
        <v>29</v>
      </c>
      <c r="D289" s="4">
        <v>9002</v>
      </c>
      <c r="E289" s="5">
        <v>72</v>
      </c>
    </row>
    <row r="290" spans="1:5" x14ac:dyDescent="0.3">
      <c r="A290" t="s">
        <v>6</v>
      </c>
      <c r="B290" t="s">
        <v>36</v>
      </c>
      <c r="C290" t="s">
        <v>29</v>
      </c>
      <c r="D290" s="4">
        <v>1400</v>
      </c>
      <c r="E290" s="5">
        <v>135</v>
      </c>
    </row>
    <row r="291" spans="1:5" x14ac:dyDescent="0.3">
      <c r="A291" t="s">
        <v>10</v>
      </c>
      <c r="B291" t="s">
        <v>34</v>
      </c>
      <c r="C291" t="s">
        <v>22</v>
      </c>
      <c r="D291" s="4">
        <v>4053</v>
      </c>
      <c r="E291" s="5">
        <v>24</v>
      </c>
    </row>
    <row r="292" spans="1:5" x14ac:dyDescent="0.3">
      <c r="A292" t="s">
        <v>7</v>
      </c>
      <c r="B292" t="s">
        <v>36</v>
      </c>
      <c r="C292" t="s">
        <v>31</v>
      </c>
      <c r="D292" s="4">
        <v>2149</v>
      </c>
      <c r="E292" s="5">
        <v>117</v>
      </c>
    </row>
    <row r="293" spans="1:5" x14ac:dyDescent="0.3">
      <c r="A293" t="s">
        <v>3</v>
      </c>
      <c r="B293" t="s">
        <v>39</v>
      </c>
      <c r="C293" t="s">
        <v>29</v>
      </c>
      <c r="D293" s="4">
        <v>3640</v>
      </c>
      <c r="E293" s="5">
        <v>51</v>
      </c>
    </row>
    <row r="294" spans="1:5" x14ac:dyDescent="0.3">
      <c r="A294" t="s">
        <v>2</v>
      </c>
      <c r="B294" t="s">
        <v>39</v>
      </c>
      <c r="C294" t="s">
        <v>23</v>
      </c>
      <c r="D294" s="4">
        <v>630</v>
      </c>
      <c r="E294" s="5">
        <v>36</v>
      </c>
    </row>
    <row r="295" spans="1:5" x14ac:dyDescent="0.3">
      <c r="A295" t="s">
        <v>9</v>
      </c>
      <c r="B295" t="s">
        <v>35</v>
      </c>
      <c r="C295" t="s">
        <v>27</v>
      </c>
      <c r="D295" s="4">
        <v>2429</v>
      </c>
      <c r="E295" s="5">
        <v>144</v>
      </c>
    </row>
    <row r="296" spans="1:5" x14ac:dyDescent="0.3">
      <c r="A296" t="s">
        <v>9</v>
      </c>
      <c r="B296" t="s">
        <v>36</v>
      </c>
      <c r="C296" t="s">
        <v>25</v>
      </c>
      <c r="D296" s="4">
        <v>2142</v>
      </c>
      <c r="E296" s="5">
        <v>114</v>
      </c>
    </row>
    <row r="297" spans="1:5" x14ac:dyDescent="0.3">
      <c r="A297" t="s">
        <v>7</v>
      </c>
      <c r="B297" t="s">
        <v>37</v>
      </c>
      <c r="C297" t="s">
        <v>30</v>
      </c>
      <c r="D297" s="4">
        <v>6454</v>
      </c>
      <c r="E297" s="5">
        <v>54</v>
      </c>
    </row>
    <row r="298" spans="1:5" x14ac:dyDescent="0.3">
      <c r="A298" t="s">
        <v>7</v>
      </c>
      <c r="B298" t="s">
        <v>37</v>
      </c>
      <c r="C298" t="s">
        <v>16</v>
      </c>
      <c r="D298" s="4">
        <v>4487</v>
      </c>
      <c r="E298" s="5">
        <v>333</v>
      </c>
    </row>
    <row r="299" spans="1:5" x14ac:dyDescent="0.3">
      <c r="A299" t="s">
        <v>3</v>
      </c>
      <c r="B299" t="s">
        <v>37</v>
      </c>
      <c r="C299" t="s">
        <v>4</v>
      </c>
      <c r="D299" s="4">
        <v>938</v>
      </c>
      <c r="E299" s="5">
        <v>366</v>
      </c>
    </row>
    <row r="300" spans="1:5" x14ac:dyDescent="0.3">
      <c r="A300" t="s">
        <v>3</v>
      </c>
      <c r="B300" t="s">
        <v>38</v>
      </c>
      <c r="C300" t="s">
        <v>26</v>
      </c>
      <c r="D300" s="4">
        <v>8841</v>
      </c>
      <c r="E300" s="5">
        <v>303</v>
      </c>
    </row>
    <row r="301" spans="1:5" x14ac:dyDescent="0.3">
      <c r="A301" t="s">
        <v>2</v>
      </c>
      <c r="B301" t="s">
        <v>39</v>
      </c>
      <c r="C301" t="s">
        <v>33</v>
      </c>
      <c r="D301" s="4">
        <v>4018</v>
      </c>
      <c r="E301" s="5">
        <v>126</v>
      </c>
    </row>
    <row r="302" spans="1:5" x14ac:dyDescent="0.3">
      <c r="A302" t="s">
        <v>41</v>
      </c>
      <c r="B302" t="s">
        <v>37</v>
      </c>
      <c r="C302" t="s">
        <v>15</v>
      </c>
      <c r="D302" s="4">
        <v>714</v>
      </c>
      <c r="E302" s="5">
        <v>231</v>
      </c>
    </row>
    <row r="303" spans="1:5" x14ac:dyDescent="0.3">
      <c r="A303" t="s">
        <v>9</v>
      </c>
      <c r="B303" t="s">
        <v>38</v>
      </c>
      <c r="C303" t="s">
        <v>25</v>
      </c>
      <c r="D303" s="4">
        <v>3850</v>
      </c>
      <c r="E303" s="5">
        <v>102</v>
      </c>
    </row>
  </sheetData>
  <mergeCells count="1">
    <mergeCell ref="A1:H1"/>
  </mergeCells>
  <conditionalFormatting sqref="D3:D1048576 D1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{CFA89620-4567-4F4A-B6AA-ED747428ED06}</x14:id>
        </ext>
      </extLst>
    </cfRule>
    <cfRule type="cellIs" dxfId="10" priority="7" operator="lessThan">
      <formula>2000</formula>
    </cfRule>
  </conditionalFormatting>
  <conditionalFormatting sqref="I6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{690A1970-6F38-498D-BE78-9691CB89DBB1}</x14:id>
        </ext>
      </extLst>
    </cfRule>
  </conditionalFormatting>
  <conditionalFormatting sqref="G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{5619B905-08E7-4927-9397-FCD275D59FF8}</x14:id>
        </ext>
      </extLst>
    </cfRule>
  </conditionalFormatting>
  <conditionalFormatting sqref="D4:D303">
    <cfRule type="top10" dxfId="9" priority="2" rank="10"/>
  </conditionalFormatting>
  <conditionalFormatting sqref="E4:E303">
    <cfRule type="aboveAverage" dxfId="8" priority="1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FA89620-4567-4F4A-B6AA-ED747428ED0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D3:D1048576 D1</xm:sqref>
        </x14:conditionalFormatting>
        <x14:conditionalFormatting xmlns:xm="http://schemas.microsoft.com/office/excel/2006/main">
          <x14:cfRule type="dataBar" id="{690A1970-6F38-498D-BE78-9691CB89DBB1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I6</xm:sqref>
        </x14:conditionalFormatting>
        <x14:conditionalFormatting xmlns:xm="http://schemas.microsoft.com/office/excel/2006/main">
          <x14:cfRule type="dataBar" id="{5619B905-08E7-4927-9397-FCD275D59FF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79A09-E0C9-410A-AAF0-F28301E039F1}">
  <dimension ref="A1:I20"/>
  <sheetViews>
    <sheetView tabSelected="1" zoomScale="130" zoomScaleNormal="130" workbookViewId="0">
      <selection activeCell="G12" sqref="G12"/>
    </sheetView>
  </sheetViews>
  <sheetFormatPr defaultRowHeight="14.4" x14ac:dyDescent="0.3"/>
  <cols>
    <col min="2" max="2" width="10.44140625" customWidth="1"/>
    <col min="3" max="3" width="16.77734375" customWidth="1"/>
    <col min="4" max="4" width="17.6640625" customWidth="1"/>
    <col min="5" max="5" width="0.109375" customWidth="1"/>
    <col min="7" max="7" width="16.88671875" customWidth="1"/>
    <col min="8" max="8" width="14.21875" customWidth="1"/>
    <col min="9" max="9" width="12" customWidth="1"/>
  </cols>
  <sheetData>
    <row r="1" spans="1:9" ht="23.4" x14ac:dyDescent="0.45">
      <c r="A1" s="35" t="s">
        <v>56</v>
      </c>
      <c r="B1" s="35"/>
      <c r="C1" s="35"/>
      <c r="D1" s="35"/>
      <c r="E1" s="35"/>
      <c r="G1" s="24"/>
      <c r="H1" s="24"/>
      <c r="I1" s="24"/>
    </row>
    <row r="2" spans="1:9" ht="18" x14ac:dyDescent="0.35">
      <c r="A2" s="25"/>
      <c r="B2" s="26"/>
      <c r="C2" s="14" t="s">
        <v>1</v>
      </c>
      <c r="D2" s="14" t="s">
        <v>58</v>
      </c>
      <c r="H2" s="20"/>
      <c r="I2" s="20"/>
    </row>
    <row r="3" spans="1:9" ht="18" x14ac:dyDescent="0.35">
      <c r="A3" s="36" t="s">
        <v>57</v>
      </c>
      <c r="B3" s="37"/>
      <c r="C3" s="15">
        <f>AVERAGE(Data[Amount])</f>
        <v>4136.2299999999996</v>
      </c>
      <c r="D3" s="16">
        <f>AVERAGE(Data[Units])</f>
        <v>152.19999999999999</v>
      </c>
      <c r="G3" s="20"/>
      <c r="H3" s="22"/>
      <c r="I3" s="21"/>
    </row>
    <row r="4" spans="1:9" ht="18" x14ac:dyDescent="0.35">
      <c r="A4" s="36" t="s">
        <v>59</v>
      </c>
      <c r="B4" s="37"/>
      <c r="C4" s="15">
        <f>MEDIAN(Data[Amount])</f>
        <v>3437</v>
      </c>
      <c r="D4" s="16">
        <f>MEDIAN(Data[Units])</f>
        <v>124.5</v>
      </c>
      <c r="G4" s="20"/>
      <c r="H4" s="22"/>
      <c r="I4" s="21"/>
    </row>
    <row r="5" spans="1:9" ht="18" x14ac:dyDescent="0.35">
      <c r="A5" s="36" t="s">
        <v>60</v>
      </c>
      <c r="B5" s="37"/>
      <c r="C5" s="16">
        <f>MIN(Data[Amount])</f>
        <v>0</v>
      </c>
      <c r="D5" s="16">
        <f>MIN(Data[Units])</f>
        <v>0</v>
      </c>
      <c r="G5" s="20"/>
      <c r="H5" s="23"/>
      <c r="I5" s="21"/>
    </row>
    <row r="6" spans="1:9" ht="18" x14ac:dyDescent="0.35">
      <c r="A6" s="36" t="s">
        <v>61</v>
      </c>
      <c r="B6" s="37"/>
      <c r="C6" s="15">
        <f>MAX(Data[Amount])</f>
        <v>16184</v>
      </c>
      <c r="D6" s="16">
        <f>MAX(Data[Units])</f>
        <v>525</v>
      </c>
      <c r="G6" s="20"/>
      <c r="H6" s="22"/>
      <c r="I6" s="21"/>
    </row>
    <row r="7" spans="1:9" ht="18" x14ac:dyDescent="0.35">
      <c r="A7" s="36" t="s">
        <v>62</v>
      </c>
      <c r="B7" s="37"/>
      <c r="C7" s="17">
        <f>C6-C5</f>
        <v>16184</v>
      </c>
      <c r="D7" s="16">
        <f>D6-D5</f>
        <v>525</v>
      </c>
      <c r="G7" s="20"/>
      <c r="H7" s="22"/>
      <c r="I7" s="21"/>
    </row>
    <row r="8" spans="1:9" ht="18" customHeight="1" x14ac:dyDescent="0.3">
      <c r="A8" s="27"/>
      <c r="B8" s="28"/>
      <c r="C8" s="31"/>
      <c r="D8" s="32"/>
      <c r="G8" s="20"/>
      <c r="H8" s="22"/>
      <c r="I8" s="21"/>
    </row>
    <row r="9" spans="1:9" ht="18" customHeight="1" x14ac:dyDescent="0.3">
      <c r="A9" s="29"/>
      <c r="B9" s="30"/>
      <c r="C9" s="33"/>
      <c r="D9" s="34"/>
      <c r="G9" s="20"/>
      <c r="H9" s="22"/>
      <c r="I9" s="21"/>
    </row>
    <row r="10" spans="1:9" ht="18" x14ac:dyDescent="0.35">
      <c r="A10" s="36" t="s">
        <v>63</v>
      </c>
      <c r="B10" s="37"/>
      <c r="C10" s="17">
        <f>_xlfn.PERCENTILE.EXC(Data[Amount],0.25)</f>
        <v>1652</v>
      </c>
      <c r="D10" s="16">
        <f>_xlfn.PERCENTILE.EXC(Data[Units],0.25)</f>
        <v>54</v>
      </c>
      <c r="G10" s="20"/>
      <c r="H10" s="22"/>
      <c r="I10" s="21"/>
    </row>
    <row r="11" spans="1:9" ht="18" x14ac:dyDescent="0.35">
      <c r="A11" s="36" t="s">
        <v>64</v>
      </c>
      <c r="B11" s="37"/>
      <c r="C11" s="17">
        <f>_xlfn.PERCENTILE.EXC(Data[Amount],0.75)</f>
        <v>6245.75</v>
      </c>
      <c r="D11" s="16">
        <f>_xlfn.PERCENTILE.EXC(Data[Units],0.75)</f>
        <v>223.5</v>
      </c>
      <c r="G11" s="20"/>
      <c r="H11" s="22"/>
      <c r="I11" s="21"/>
    </row>
    <row r="12" spans="1:9" ht="18" x14ac:dyDescent="0.35">
      <c r="A12" s="36"/>
      <c r="B12" s="37"/>
      <c r="C12" s="38"/>
      <c r="D12" s="39"/>
      <c r="G12" s="20"/>
      <c r="H12" s="22"/>
      <c r="I12" s="21"/>
    </row>
    <row r="13" spans="1:9" ht="18" x14ac:dyDescent="0.35">
      <c r="A13" s="18" t="s">
        <v>65</v>
      </c>
      <c r="B13" s="18"/>
      <c r="C13" s="19">
        <f>COUNTA(_xlfn.UNIQUE(Data[Product]))</f>
        <v>22</v>
      </c>
      <c r="D13" s="16"/>
      <c r="H13" s="12"/>
    </row>
    <row r="14" spans="1:9" x14ac:dyDescent="0.3">
      <c r="H14" s="12"/>
    </row>
    <row r="15" spans="1:9" x14ac:dyDescent="0.3">
      <c r="H15" s="12"/>
    </row>
    <row r="16" spans="1:9" x14ac:dyDescent="0.3">
      <c r="H16" s="12"/>
    </row>
    <row r="17" spans="5:8" x14ac:dyDescent="0.3">
      <c r="H17" s="12"/>
    </row>
    <row r="18" spans="5:8" x14ac:dyDescent="0.3">
      <c r="H18" s="12"/>
    </row>
    <row r="20" spans="5:8" x14ac:dyDescent="0.3">
      <c r="E20" s="13"/>
    </row>
  </sheetData>
  <mergeCells count="14">
    <mergeCell ref="C12:D12"/>
    <mergeCell ref="A12:B12"/>
    <mergeCell ref="A7:B7"/>
    <mergeCell ref="A10:B10"/>
    <mergeCell ref="A11:B11"/>
    <mergeCell ref="G1:I1"/>
    <mergeCell ref="A2:B2"/>
    <mergeCell ref="A8:B9"/>
    <mergeCell ref="C8:D9"/>
    <mergeCell ref="A1:E1"/>
    <mergeCell ref="A3:B3"/>
    <mergeCell ref="A4:B4"/>
    <mergeCell ref="A5:B5"/>
    <mergeCell ref="A6:B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Q3</vt:lpstr>
      <vt:lpstr>Q2</vt:lpstr>
      <vt:lpstr>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Derry Hill</dc:creator>
  <cp:lastModifiedBy>RASIKA DESHMUKH</cp:lastModifiedBy>
  <dcterms:created xsi:type="dcterms:W3CDTF">2021-03-14T20:21:32Z</dcterms:created>
  <dcterms:modified xsi:type="dcterms:W3CDTF">2026-03-24T06:20:04Z</dcterms:modified>
</cp:coreProperties>
</file>